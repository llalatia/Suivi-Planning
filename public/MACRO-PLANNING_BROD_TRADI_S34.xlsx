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mmercial 3\Desktop\Kandra\"/>
    </mc:Choice>
  </mc:AlternateContent>
  <xr:revisionPtr revIDLastSave="0" documentId="13_ncr:1_{23FF1443-0815-4267-A57B-D41FDD2AAA9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MAJ S34" sheetId="4" r:id="rId1"/>
  </sheets>
  <definedNames>
    <definedName name="_xlnm._FilterDatabase" localSheetId="0" hidden="1">'MAJ S34'!$A$5:$H$49</definedName>
    <definedName name="_xlnm.Print_Area" localSheetId="0">'MAJ S34'!$B$67:$E$79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3" i="4" l="1"/>
  <c r="AG43" i="4" s="1"/>
  <c r="AH42" i="4"/>
  <c r="AG42" i="4" s="1"/>
  <c r="AH41" i="4"/>
  <c r="AG41" i="4"/>
  <c r="AH40" i="4"/>
  <c r="AG40" i="4" s="1"/>
  <c r="AH39" i="4"/>
  <c r="AG39" i="4" s="1"/>
  <c r="AH38" i="4"/>
  <c r="AG38" i="4"/>
  <c r="AH37" i="4"/>
  <c r="AG37" i="4"/>
  <c r="AH36" i="4"/>
  <c r="AG36" i="4" s="1"/>
  <c r="AH35" i="4"/>
  <c r="AG35" i="4"/>
  <c r="AH34" i="4"/>
  <c r="AG34" i="4"/>
  <c r="AH33" i="4"/>
  <c r="AG33" i="4" s="1"/>
  <c r="AH32" i="4"/>
  <c r="AG32" i="4"/>
  <c r="AH31" i="4"/>
  <c r="AG31" i="4"/>
  <c r="AH30" i="4"/>
  <c r="AG30" i="4"/>
  <c r="H31" i="4"/>
  <c r="H30" i="4"/>
  <c r="Z20" i="4"/>
  <c r="H20" i="4" s="1"/>
  <c r="Z17" i="4"/>
  <c r="H17" i="4" s="1"/>
  <c r="Z16" i="4"/>
  <c r="H16" i="4" s="1"/>
  <c r="Z15" i="4"/>
  <c r="Z14" i="4"/>
  <c r="H14" i="4" s="1"/>
  <c r="Z13" i="4"/>
  <c r="Z12" i="4"/>
  <c r="H12" i="4" s="1"/>
  <c r="Z11" i="4"/>
  <c r="Z9" i="4"/>
  <c r="H9" i="4" s="1"/>
  <c r="Z8" i="4"/>
  <c r="Z7" i="4"/>
  <c r="Z6" i="4"/>
  <c r="F18" i="4"/>
  <c r="C29" i="4"/>
  <c r="C28" i="4"/>
  <c r="C27" i="4"/>
  <c r="C26" i="4"/>
  <c r="C25" i="4"/>
  <c r="C24" i="4"/>
  <c r="C23" i="4"/>
  <c r="C22" i="4"/>
  <c r="C21" i="4"/>
  <c r="S19" i="4"/>
  <c r="R19" i="4" s="1"/>
  <c r="S18" i="4"/>
  <c r="R18" i="4" s="1"/>
  <c r="H7" i="4"/>
  <c r="H8" i="4"/>
  <c r="H10" i="4"/>
  <c r="H11" i="4"/>
  <c r="H13" i="4"/>
  <c r="H15" i="4"/>
  <c r="H18" i="4"/>
  <c r="H19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6" i="4"/>
  <c r="F11" i="4"/>
  <c r="F6" i="4"/>
  <c r="AT51" i="4" l="1"/>
  <c r="AS51" i="4"/>
  <c r="AS54" i="4" s="1"/>
  <c r="L51" i="4"/>
  <c r="L54" i="4" s="1"/>
  <c r="I51" i="4"/>
  <c r="AN45" i="4"/>
  <c r="AM45" i="4" s="1"/>
  <c r="AN46" i="4"/>
  <c r="AM46" i="4" s="1"/>
  <c r="AN47" i="4"/>
  <c r="AM47" i="4" s="1"/>
  <c r="AN48" i="4"/>
  <c r="AM48" i="4" s="1"/>
  <c r="AN49" i="4"/>
  <c r="AQ45" i="4"/>
  <c r="AQ46" i="4"/>
  <c r="AP46" i="4" s="1"/>
  <c r="AQ47" i="4"/>
  <c r="AP47" i="4" s="1"/>
  <c r="AQ48" i="4"/>
  <c r="AP48" i="4" s="1"/>
  <c r="AQ49" i="4"/>
  <c r="AP49" i="4" s="1"/>
  <c r="AQ44" i="4"/>
  <c r="AP44" i="4" s="1"/>
  <c r="AN44" i="4"/>
  <c r="AM44" i="4" s="1"/>
  <c r="AK45" i="4"/>
  <c r="AJ45" i="4" s="1"/>
  <c r="AK46" i="4"/>
  <c r="AJ46" i="4" s="1"/>
  <c r="AK47" i="4"/>
  <c r="AJ47" i="4" s="1"/>
  <c r="AK48" i="4"/>
  <c r="AJ48" i="4" s="1"/>
  <c r="AK49" i="4"/>
  <c r="AJ49" i="4" s="1"/>
  <c r="AK44" i="4"/>
  <c r="AJ44" i="4" s="1"/>
  <c r="AH45" i="4"/>
  <c r="AG45" i="4" s="1"/>
  <c r="AH46" i="4"/>
  <c r="AG46" i="4" s="1"/>
  <c r="AH47" i="4"/>
  <c r="AG47" i="4" s="1"/>
  <c r="AH48" i="4"/>
  <c r="AG48" i="4" s="1"/>
  <c r="AH49" i="4"/>
  <c r="AG49" i="4" s="1"/>
  <c r="AH44" i="4"/>
  <c r="AG44" i="4" s="1"/>
  <c r="G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6" i="4"/>
  <c r="L52" i="4"/>
  <c r="O52" i="4" s="1"/>
  <c r="R52" i="4" s="1"/>
  <c r="G49" i="4"/>
  <c r="G48" i="4"/>
  <c r="G47" i="4"/>
  <c r="G46" i="4"/>
  <c r="G45" i="4"/>
  <c r="G44" i="4"/>
  <c r="AE31" i="4"/>
  <c r="AE32" i="4"/>
  <c r="AE33" i="4"/>
  <c r="AE34" i="4"/>
  <c r="AE35" i="4"/>
  <c r="AD35" i="4" s="1"/>
  <c r="AE36" i="4"/>
  <c r="AD36" i="4" s="1"/>
  <c r="AE37" i="4"/>
  <c r="AD37" i="4" s="1"/>
  <c r="AE38" i="4"/>
  <c r="AD38" i="4" s="1"/>
  <c r="AE39" i="4"/>
  <c r="AD39" i="4" s="1"/>
  <c r="AE40" i="4"/>
  <c r="AD40" i="4" s="1"/>
  <c r="AE41" i="4"/>
  <c r="AD41" i="4" s="1"/>
  <c r="AE42" i="4"/>
  <c r="AD42" i="4" s="1"/>
  <c r="AE43" i="4"/>
  <c r="AD43" i="4" s="1"/>
  <c r="AE30" i="4"/>
  <c r="AB40" i="4"/>
  <c r="AA40" i="4" s="1"/>
  <c r="AB35" i="4"/>
  <c r="AA35" i="4" s="1"/>
  <c r="AB36" i="4"/>
  <c r="AA36" i="4" s="1"/>
  <c r="AB37" i="4"/>
  <c r="AA37" i="4" s="1"/>
  <c r="AB38" i="4"/>
  <c r="AA38" i="4" s="1"/>
  <c r="AB39" i="4"/>
  <c r="AA39" i="4" s="1"/>
  <c r="AB41" i="4"/>
  <c r="AA41" i="4" s="1"/>
  <c r="AB42" i="4"/>
  <c r="AA42" i="4" s="1"/>
  <c r="AB43" i="4"/>
  <c r="AA43" i="4" s="1"/>
  <c r="Y38" i="4"/>
  <c r="X38" i="4" s="1"/>
  <c r="Y39" i="4"/>
  <c r="X39" i="4" s="1"/>
  <c r="Y40" i="4"/>
  <c r="X40" i="4" s="1"/>
  <c r="Y41" i="4"/>
  <c r="X41" i="4" s="1"/>
  <c r="Y42" i="4"/>
  <c r="X42" i="4" s="1"/>
  <c r="Y43" i="4"/>
  <c r="X43" i="4" s="1"/>
  <c r="Y35" i="4"/>
  <c r="X35" i="4" s="1"/>
  <c r="Y36" i="4"/>
  <c r="X36" i="4" s="1"/>
  <c r="Y37" i="4"/>
  <c r="X37" i="4" s="1"/>
  <c r="Y30" i="4"/>
  <c r="X30" i="4" s="1"/>
  <c r="Y31" i="4"/>
  <c r="X31" i="4" s="1"/>
  <c r="Y32" i="4"/>
  <c r="X32" i="4" s="1"/>
  <c r="Y33" i="4"/>
  <c r="X33" i="4" s="1"/>
  <c r="Y34" i="4"/>
  <c r="X34" i="4" s="1"/>
  <c r="AB30" i="4"/>
  <c r="AA30" i="4" s="1"/>
  <c r="AB31" i="4"/>
  <c r="AA31" i="4" s="1"/>
  <c r="AB32" i="4"/>
  <c r="AA32" i="4" s="1"/>
  <c r="AB33" i="4"/>
  <c r="AA33" i="4" s="1"/>
  <c r="AB34" i="4"/>
  <c r="AA34" i="4" s="1"/>
  <c r="Y6" i="4"/>
  <c r="X6" i="4" s="1"/>
  <c r="Y17" i="4"/>
  <c r="X17" i="4" s="1"/>
  <c r="Y15" i="4"/>
  <c r="X15" i="4" s="1"/>
  <c r="Y14" i="4"/>
  <c r="X14" i="4" s="1"/>
  <c r="Y7" i="4"/>
  <c r="X7" i="4" s="1"/>
  <c r="Y8" i="4"/>
  <c r="X8" i="4" s="1"/>
  <c r="Y9" i="4"/>
  <c r="X9" i="4" s="1"/>
  <c r="Y10" i="4"/>
  <c r="X10" i="4" s="1"/>
  <c r="Y11" i="4"/>
  <c r="X11" i="4" s="1"/>
  <c r="Y12" i="4"/>
  <c r="X12" i="4" s="1"/>
  <c r="Y13" i="4"/>
  <c r="X13" i="4" s="1"/>
  <c r="Y16" i="4"/>
  <c r="X16" i="4" s="1"/>
  <c r="Y18" i="4"/>
  <c r="X18" i="4" s="1"/>
  <c r="Y19" i="4"/>
  <c r="X19" i="4" s="1"/>
  <c r="Y20" i="4"/>
  <c r="X20" i="4" s="1"/>
  <c r="AK51" i="4" l="1"/>
  <c r="AN51" i="4"/>
  <c r="AQ51" i="4"/>
  <c r="AE51" i="4"/>
  <c r="AH51" i="4"/>
  <c r="AM49" i="4"/>
  <c r="AM51" i="4" s="1"/>
  <c r="AM54" i="4" s="1"/>
  <c r="M51" i="4"/>
  <c r="M52" i="4" s="1"/>
  <c r="AG51" i="4"/>
  <c r="AG54" i="4" s="1"/>
  <c r="AJ51" i="4"/>
  <c r="AJ54" i="4" s="1"/>
  <c r="X51" i="4"/>
  <c r="X54" i="4" s="1"/>
  <c r="AA51" i="4"/>
  <c r="AA54" i="4" s="1"/>
  <c r="AB51" i="4"/>
  <c r="Y51" i="4"/>
  <c r="AP45" i="4"/>
  <c r="AP51" i="4" s="1"/>
  <c r="AP54" i="4" s="1"/>
  <c r="V18" i="4"/>
  <c r="P19" i="4"/>
  <c r="O19" i="4" s="1"/>
  <c r="V51" i="4" l="1"/>
  <c r="J6" i="4"/>
  <c r="J51" i="4" s="1"/>
  <c r="J52" i="4" s="1"/>
  <c r="U18" i="4"/>
  <c r="C31" i="4" l="1"/>
  <c r="C33" i="4"/>
  <c r="U51" i="4"/>
  <c r="U54" i="4" s="1"/>
  <c r="P20" i="4"/>
  <c r="O20" i="4" s="1"/>
  <c r="G20" i="4"/>
  <c r="G7" i="4"/>
  <c r="P8" i="4"/>
  <c r="O8" i="4" s="1"/>
  <c r="P9" i="4"/>
  <c r="O9" i="4" s="1"/>
  <c r="P10" i="4"/>
  <c r="O10" i="4" s="1"/>
  <c r="P11" i="4"/>
  <c r="O11" i="4" s="1"/>
  <c r="P12" i="4"/>
  <c r="O12" i="4" s="1"/>
  <c r="P13" i="4"/>
  <c r="O13" i="4" s="1"/>
  <c r="P14" i="4"/>
  <c r="O14" i="4" s="1"/>
  <c r="P15" i="4"/>
  <c r="O15" i="4" s="1"/>
  <c r="P16" i="4"/>
  <c r="O16" i="4" s="1"/>
  <c r="P17" i="4"/>
  <c r="O17" i="4" s="1"/>
  <c r="P18" i="4"/>
  <c r="O18" i="4" s="1"/>
  <c r="P6" i="4"/>
  <c r="G17" i="4"/>
  <c r="G18" i="4"/>
  <c r="G19" i="4"/>
  <c r="O6" i="4" l="1"/>
  <c r="O51" i="4" s="1"/>
  <c r="O54" i="4" s="1"/>
  <c r="P51" i="4"/>
  <c r="P52" i="4" s="1"/>
  <c r="R51" i="4"/>
  <c r="R54" i="4" s="1"/>
  <c r="S51" i="4"/>
  <c r="S52" i="4" s="1"/>
  <c r="AD31" i="4"/>
  <c r="AD32" i="4"/>
  <c r="AD33" i="4"/>
  <c r="AD34" i="4"/>
  <c r="AD30" i="4"/>
  <c r="G35" i="4"/>
  <c r="G36" i="4"/>
  <c r="G37" i="4"/>
  <c r="C34" i="4"/>
  <c r="G34" i="4" s="1"/>
  <c r="G33" i="4"/>
  <c r="C32" i="4"/>
  <c r="G32" i="4" s="1"/>
  <c r="G31" i="4"/>
  <c r="C30" i="4"/>
  <c r="G30" i="4" s="1"/>
  <c r="G43" i="4"/>
  <c r="G42" i="4"/>
  <c r="G39" i="4"/>
  <c r="G38" i="4"/>
  <c r="C41" i="4"/>
  <c r="G41" i="4" s="1"/>
  <c r="C40" i="4"/>
  <c r="G40" i="4" s="1"/>
  <c r="G16" i="4"/>
  <c r="G15" i="4"/>
  <c r="G14" i="4"/>
  <c r="G13" i="4"/>
  <c r="G12" i="4"/>
  <c r="G11" i="4"/>
  <c r="G10" i="4"/>
  <c r="G9" i="4"/>
  <c r="G8" i="4"/>
  <c r="AD51" i="4" l="1"/>
  <c r="AD54" i="4" s="1"/>
  <c r="I54" i="4" l="1"/>
  <c r="U52" i="4" l="1"/>
  <c r="V52" i="4" s="1"/>
  <c r="X52" i="4" l="1"/>
  <c r="Y52" i="4" s="1"/>
  <c r="AA52" i="4" l="1"/>
  <c r="AB52" i="4" s="1"/>
  <c r="AD52" i="4" l="1"/>
  <c r="AG52" i="4" l="1"/>
  <c r="AH52" i="4" s="1"/>
  <c r="AE52" i="4"/>
  <c r="AJ52" i="4" l="1"/>
  <c r="AK52" i="4" s="1"/>
  <c r="AM52" i="4" l="1"/>
  <c r="AN52" i="4" s="1"/>
  <c r="AP52" i="4" l="1"/>
  <c r="AQ52" i="4" s="1"/>
  <c r="AS52" i="4" l="1"/>
  <c r="AT52" i="4" s="1"/>
</calcChain>
</file>

<file path=xl/sharedStrings.xml><?xml version="1.0" encoding="utf-8"?>
<sst xmlns="http://schemas.openxmlformats.org/spreadsheetml/2006/main" count="249" uniqueCount="92">
  <si>
    <t>MODELE</t>
  </si>
  <si>
    <t>Nb brodeuses</t>
  </si>
  <si>
    <t>Nb d'heures</t>
  </si>
  <si>
    <t xml:space="preserve">Nb pièces </t>
  </si>
  <si>
    <t>HEURE / PCS</t>
  </si>
  <si>
    <t>PIECES PROGRAMMES DANS LE PLANNING</t>
  </si>
  <si>
    <t>Semaine en cours</t>
  </si>
  <si>
    <t>QTE FINIE</t>
  </si>
  <si>
    <t>CLIENT</t>
  </si>
  <si>
    <t>UNITE</t>
  </si>
  <si>
    <t>S32</t>
  </si>
  <si>
    <t>S30</t>
  </si>
  <si>
    <t>S31</t>
  </si>
  <si>
    <t xml:space="preserve"> </t>
  </si>
  <si>
    <t>S33</t>
  </si>
  <si>
    <t>S34</t>
  </si>
  <si>
    <t>S35</t>
  </si>
  <si>
    <t>S36</t>
  </si>
  <si>
    <t>PCS</t>
  </si>
  <si>
    <t>S37</t>
  </si>
  <si>
    <t>S38</t>
  </si>
  <si>
    <t>QTE EN 
COMMANDE</t>
  </si>
  <si>
    <t>QTE RESTE
 A FAIRE</t>
  </si>
  <si>
    <t>S39</t>
  </si>
  <si>
    <t>S40</t>
  </si>
  <si>
    <t>S41</t>
  </si>
  <si>
    <t>Planning BRODERIE TRADITIONNELLE</t>
  </si>
  <si>
    <t>Limite Livraison Client</t>
  </si>
  <si>
    <t>Semaine De Lancement</t>
  </si>
  <si>
    <t>SST</t>
  </si>
  <si>
    <t>GLISSEMEMENT VS PLANNING</t>
  </si>
  <si>
    <t>PETIT ROND NATUREL</t>
  </si>
  <si>
    <t>S29</t>
  </si>
  <si>
    <t>ZIMMERMANN C27</t>
  </si>
  <si>
    <t>SMALL FRINGE NATUREL</t>
  </si>
  <si>
    <t>SMALL FRINGE PEACH</t>
  </si>
  <si>
    <t>SMALL FRINGE LEMON</t>
  </si>
  <si>
    <t>MEDIUM FRINGE NATUREL</t>
  </si>
  <si>
    <t>MEDIUM FRINGE LEMON</t>
  </si>
  <si>
    <t>MEDIUM FRINGE PEACH</t>
  </si>
  <si>
    <t>BANANA HOBO FRINGE NATUREL</t>
  </si>
  <si>
    <t>BANANA HOBO FRINGE PEACH</t>
  </si>
  <si>
    <t>MEDIUM RUFFLE NATUREL</t>
  </si>
  <si>
    <t>JACQUEMUS V1</t>
  </si>
  <si>
    <t>PETIT CARRE NOIR</t>
  </si>
  <si>
    <t>JACQUEMUS V2</t>
  </si>
  <si>
    <t xml:space="preserve">PETIT CARRE NOIR </t>
  </si>
  <si>
    <t xml:space="preserve">PETIT ROND NOIR </t>
  </si>
  <si>
    <t>PETIT ROND ZEBRE</t>
  </si>
  <si>
    <t>ISABEL MARANT</t>
  </si>
  <si>
    <t>BAYA NATUREL</t>
  </si>
  <si>
    <t>BAYA STRIPE</t>
  </si>
  <si>
    <t>MINI-BAYA NATUREL</t>
  </si>
  <si>
    <t>MINI-BAYA STRIPE</t>
  </si>
  <si>
    <t>PRAIA STRIPE</t>
  </si>
  <si>
    <t>WESTWOOD</t>
  </si>
  <si>
    <t>RAFFIA BUCKET YELLOW</t>
  </si>
  <si>
    <t>RAFFIA BUCKET MINT</t>
  </si>
  <si>
    <t>RAFFIA VISOR YELLOW</t>
  </si>
  <si>
    <t>SMALL RUFFLE NATUREL</t>
  </si>
  <si>
    <t>MEDIUM SHELL NATUREL / MULTI</t>
  </si>
  <si>
    <t>BANANA HOBO SHELL NATUREL/MULTI</t>
  </si>
  <si>
    <t>SMALL FRINGE NATUREL V2</t>
  </si>
  <si>
    <t>LE PETIT ROND SPIAGGIA BLACK</t>
  </si>
  <si>
    <t>LE PETIT ROND SPIAGGIA NATUREL</t>
  </si>
  <si>
    <t>LE SPIAGGIA CŒUR BLACK</t>
  </si>
  <si>
    <t xml:space="preserve">LE SPIAGGIA CŒUR RED </t>
  </si>
  <si>
    <t>LE SPIAGGIA CŒUR PINK</t>
  </si>
  <si>
    <t>JACQUEMUS E27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</si>
  <si>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</si>
  <si>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</si>
  <si>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</si>
  <si>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</si>
  <si>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</si>
  <si>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</si>
  <si>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</si>
  <si>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</si>
  <si>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</si>
  <si>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</si>
  <si>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ZIMMERMANN SS27</t>
  </si>
  <si>
    <t>SMALL SHELL BLACK WHITE</t>
  </si>
  <si>
    <t>MEDIUM SHELL BLACK WHITE</t>
  </si>
  <si>
    <t>MEDIUM SHELL CHOCO</t>
  </si>
  <si>
    <t>SMALL FLOWER NATUREL</t>
  </si>
  <si>
    <t>MEDIUM FLOWER NATUREL</t>
  </si>
  <si>
    <t>SMALL SHELL NATUREL</t>
  </si>
  <si>
    <t>MEDIUM SHELL NATUREL</t>
  </si>
  <si>
    <t>SMALL SHELL CHOCO</t>
  </si>
  <si>
    <t>TBC</t>
  </si>
  <si>
    <t>SMALL SHELL NATUREL / MULTI</t>
  </si>
  <si>
    <t>SMALL RUFFLE NATUREL v1</t>
  </si>
  <si>
    <t>SMALL RUFFLE NATUREL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</si>
</sst>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&quot;"/>
    <numFmt numFmtId="165" formatCode="0&quot; 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5" fillId="0" borderId="0">
      <alignment vertical="center"/>
      <protection hidden="1"/>
    </xf>
  </cellStyleXfs>
  <cellXfs count="8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5" borderId="0" xfId="0" applyFill="1"/>
    <xf numFmtId="0" fontId="0" fillId="3" borderId="0" xfId="0" applyFill="1"/>
    <xf numFmtId="0" fontId="0" fillId="6" borderId="0" xfId="0" applyFill="1"/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textRotation="255" wrapText="1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right" vertical="center"/>
    </xf>
    <xf numFmtId="0" fontId="0" fillId="0" borderId="10" xfId="0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right" vertical="center"/>
    </xf>
    <xf numFmtId="0" fontId="2" fillId="0" borderId="10" xfId="0" applyFont="1" applyBorder="1"/>
    <xf numFmtId="0" fontId="1" fillId="3" borderId="1" xfId="0" applyFont="1" applyFill="1" applyBorder="1"/>
    <xf numFmtId="1" fontId="1" fillId="7" borderId="9" xfId="0" applyNumberFormat="1" applyFont="1" applyFill="1" applyBorder="1"/>
    <xf numFmtId="0" fontId="0" fillId="0" borderId="3" xfId="0" applyBorder="1" applyAlignment="1">
      <alignment vertical="center"/>
    </xf>
    <xf numFmtId="0" fontId="0" fillId="8" borderId="0" xfId="0" applyFill="1"/>
    <xf numFmtId="0" fontId="0" fillId="9" borderId="0" xfId="0" applyFill="1"/>
    <xf numFmtId="0" fontId="0" fillId="3" borderId="10" xfId="0" applyFill="1" applyBorder="1"/>
    <xf numFmtId="0" fontId="0" fillId="3" borderId="1" xfId="0" applyFill="1" applyBorder="1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0" fillId="0" borderId="0" xfId="1" applyFont="1" applyProtection="1">
      <alignment vertical="center"/>
      <protection locked="0"/>
    </xf>
    <xf numFmtId="164" fontId="5" fillId="0" borderId="0" xfId="1" applyNumberFormat="1" applyAlignment="1" applyProtection="1">
      <alignment horizontal="center" vertical="center"/>
      <protection locked="0"/>
    </xf>
    <xf numFmtId="165" fontId="5" fillId="0" borderId="0" xfId="1" applyProtection="1">
      <alignment vertical="center"/>
      <protection locked="0"/>
    </xf>
    <xf numFmtId="0" fontId="0" fillId="5" borderId="1" xfId="0" applyFill="1" applyBorder="1" applyAlignment="1">
      <alignment horizontal="right" vertical="center"/>
    </xf>
    <xf numFmtId="0" fontId="0" fillId="4" borderId="0" xfId="0" applyFill="1"/>
    <xf numFmtId="0" fontId="0" fillId="4" borderId="10" xfId="0" applyFill="1" applyBorder="1"/>
    <xf numFmtId="0" fontId="1" fillId="4" borderId="8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1" fontId="0" fillId="4" borderId="1" xfId="0" applyNumberFormat="1" applyFill="1" applyBorder="1" applyAlignment="1">
      <alignment horizontal="right" vertical="center"/>
    </xf>
    <xf numFmtId="1" fontId="0" fillId="4" borderId="3" xfId="0" applyNumberFormat="1" applyFill="1" applyBorder="1" applyAlignment="1">
      <alignment horizontal="right" vertical="center"/>
    </xf>
    <xf numFmtId="0" fontId="1" fillId="4" borderId="12" xfId="0" applyFont="1" applyFill="1" applyBorder="1" applyAlignment="1">
      <alignment horizontal="right" vertical="center"/>
    </xf>
    <xf numFmtId="1" fontId="0" fillId="3" borderId="3" xfId="0" applyNumberForma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 vertical="center"/>
    </xf>
    <xf numFmtId="1" fontId="0" fillId="5" borderId="3" xfId="0" applyNumberFormat="1" applyFill="1" applyBorder="1" applyAlignment="1">
      <alignment horizontal="right" vertical="center"/>
    </xf>
    <xf numFmtId="0" fontId="2" fillId="5" borderId="3" xfId="0" applyFont="1" applyFill="1" applyBorder="1" applyAlignment="1">
      <alignment vertical="center"/>
    </xf>
    <xf numFmtId="0" fontId="1" fillId="5" borderId="12" xfId="0" applyFont="1" applyFill="1" applyBorder="1" applyAlignment="1">
      <alignment horizontal="right" vertical="center"/>
    </xf>
    <xf numFmtId="0" fontId="0" fillId="0" borderId="12" xfId="0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" fontId="1" fillId="4" borderId="5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16" fontId="1" fillId="0" borderId="5" xfId="0" applyNumberFormat="1" applyFont="1" applyBorder="1" applyAlignment="1">
      <alignment horizontal="center"/>
    </xf>
    <xf numFmtId="16" fontId="1" fillId="3" borderId="5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20"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strike/>
        <color auto="1"/>
      </font>
      <fill>
        <patternFill>
          <bgColor theme="7" tint="0.79998168889431442"/>
        </patternFill>
      </fill>
    </dxf>
    <dxf>
      <font>
        <strike/>
      </font>
      <fill>
        <patternFill>
          <bgColor theme="7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strike/>
        <color auto="1"/>
      </font>
      <fill>
        <patternFill>
          <bgColor theme="7" tint="0.79998168889431442"/>
        </patternFill>
      </fill>
    </dxf>
    <dxf>
      <font>
        <strike/>
      </font>
      <fill>
        <patternFill>
          <bgColor theme="7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strike/>
        <color auto="1"/>
      </font>
      <fill>
        <patternFill>
          <bgColor theme="7" tint="0.79998168889431442"/>
        </patternFill>
      </fill>
    </dxf>
    <dxf>
      <font>
        <strike/>
      </font>
      <fill>
        <patternFill>
          <bgColor theme="7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ont>
        <strike/>
        <color auto="1"/>
      </font>
      <fill>
        <patternFill>
          <bgColor theme="7" tint="0.79998168889431442"/>
        </patternFill>
      </fill>
    </dxf>
    <dxf>
      <font>
        <strike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tabColor rgb="FFFFFF00"/>
    <pageSetUpPr fitToPage="1"/>
  </sheetPr>
  <dimension ref="A1:BZ79"/>
  <sheetViews>
    <sheetView tabSelected="1" zoomScale="60" zoomScaleNormal="60" zoomScaleSheetLayoutView="80" workbookViewId="0">
      <pane xSplit="2" ySplit="2" topLeftCell="C5" activePane="bottomRight" state="frozen"/>
      <selection pane="topRight" activeCell="C1" sqref="C1"/>
      <selection pane="bottomLeft" activeCell="A3" sqref="A3"/>
      <selection pane="bottomRight" activeCell="A44" sqref="A44:B49"/>
    </sheetView>
  </sheetViews>
  <sheetFormatPr baseColWidth="10" defaultColWidth="11.5703125" defaultRowHeight="15" x14ac:dyDescent="0.25"/>
  <cols>
    <col min="1" max="1" width="31.7109375" customWidth="1"/>
    <col min="2" max="2" width="52" customWidth="1"/>
    <col min="3" max="3" width="15.85546875" style="1" customWidth="1"/>
    <col min="4" max="4" width="8.7109375" style="1" customWidth="1"/>
    <col min="5" max="5" width="16.42578125" customWidth="1"/>
    <col min="6" max="6" width="12.85546875" style="1" customWidth="1"/>
    <col min="7" max="7" width="15.85546875" style="1" customWidth="1"/>
    <col min="8" max="8" width="18.7109375" customWidth="1"/>
    <col min="9" max="10" width="11.5703125" hidden="1" customWidth="1"/>
    <col min="11" max="11" width="11.5703125" style="28" hidden="1" customWidth="1"/>
    <col min="12" max="13" width="11.5703125" hidden="1" customWidth="1"/>
    <col min="14" max="14" width="11.5703125" style="28" hidden="1" customWidth="1"/>
    <col min="15" max="16" width="11.5703125" hidden="1" customWidth="1"/>
    <col min="17" max="17" width="11.5703125" style="28" hidden="1" customWidth="1"/>
    <col min="18" max="19" width="11.5703125" hidden="1" customWidth="1"/>
    <col min="20" max="20" width="11.5703125" style="28" hidden="1" customWidth="1"/>
    <col min="23" max="23" width="11.5703125" style="28"/>
    <col min="26" max="26" width="11.5703125" style="28"/>
    <col min="29" max="29" width="11.5703125" style="28"/>
    <col min="32" max="32" width="11.5703125" style="28"/>
    <col min="35" max="35" width="11.5703125" style="28"/>
    <col min="38" max="38" width="11.5703125" style="28"/>
    <col min="41" max="41" width="11.5703125" style="28"/>
    <col min="44" max="44" width="11.5703125" style="28"/>
    <col min="47" max="47" width="11.5703125" style="28"/>
  </cols>
  <sheetData>
    <row r="1" spans="1:78" x14ac:dyDescent="0.25">
      <c r="B1" s="69" t="s">
        <v>26</v>
      </c>
      <c r="C1" s="70"/>
      <c r="D1" s="70"/>
      <c r="E1" s="71"/>
      <c r="H1" s="4"/>
      <c r="I1" s="45"/>
      <c r="J1" s="45"/>
      <c r="K1" s="46"/>
      <c r="L1" s="45"/>
      <c r="M1" s="45"/>
      <c r="N1" s="46"/>
      <c r="X1" s="10"/>
      <c r="Y1" s="10"/>
      <c r="Z1" s="37"/>
    </row>
    <row r="2" spans="1:78" x14ac:dyDescent="0.25">
      <c r="B2" s="32" t="s">
        <v>15</v>
      </c>
      <c r="C2" s="17"/>
      <c r="D2"/>
      <c r="F2"/>
      <c r="G2"/>
      <c r="I2" s="45"/>
      <c r="J2" s="45"/>
      <c r="K2" s="46"/>
      <c r="L2" s="45"/>
      <c r="M2" s="45"/>
      <c r="N2" s="46"/>
      <c r="X2" s="10"/>
      <c r="Y2" s="10"/>
      <c r="Z2" s="37"/>
    </row>
    <row r="3" spans="1:78" s="2" customFormat="1" ht="14.45" customHeight="1" x14ac:dyDescent="0.25">
      <c r="B3" s="2" t="s">
        <v>13</v>
      </c>
      <c r="C3" s="5"/>
      <c r="D3" s="5"/>
      <c r="E3" s="5"/>
      <c r="F3" s="5"/>
      <c r="H3" s="5"/>
      <c r="I3" s="72">
        <v>46216</v>
      </c>
      <c r="J3" s="72"/>
      <c r="K3" s="72"/>
      <c r="L3" s="72">
        <v>46223</v>
      </c>
      <c r="M3" s="72"/>
      <c r="N3" s="72"/>
      <c r="O3" s="76">
        <v>46230</v>
      </c>
      <c r="P3" s="76"/>
      <c r="Q3" s="76"/>
      <c r="R3" s="76">
        <v>46237</v>
      </c>
      <c r="S3" s="76"/>
      <c r="T3" s="76"/>
      <c r="U3" s="76">
        <v>46244</v>
      </c>
      <c r="V3" s="76"/>
      <c r="W3" s="76"/>
      <c r="X3" s="77">
        <v>46251</v>
      </c>
      <c r="Y3" s="77"/>
      <c r="Z3" s="77"/>
      <c r="AA3" s="72">
        <v>46258</v>
      </c>
      <c r="AB3" s="72"/>
      <c r="AC3" s="72"/>
      <c r="AD3" s="72">
        <v>46265</v>
      </c>
      <c r="AE3" s="72"/>
      <c r="AF3" s="72"/>
      <c r="AG3" s="72">
        <v>46272</v>
      </c>
      <c r="AH3" s="72"/>
      <c r="AI3" s="72"/>
      <c r="AJ3" s="72">
        <v>46279</v>
      </c>
      <c r="AK3" s="72"/>
      <c r="AL3" s="72"/>
      <c r="AM3" s="72">
        <v>46286</v>
      </c>
      <c r="AN3" s="72"/>
      <c r="AO3" s="72"/>
      <c r="AP3" s="72">
        <v>46293</v>
      </c>
      <c r="AQ3" s="72"/>
      <c r="AR3" s="72"/>
      <c r="AS3" s="72">
        <v>46300</v>
      </c>
      <c r="AT3" s="72"/>
      <c r="AU3" s="72"/>
    </row>
    <row r="4" spans="1:78" x14ac:dyDescent="0.25">
      <c r="E4" s="1"/>
      <c r="F4" s="14"/>
      <c r="G4"/>
      <c r="H4" s="1"/>
      <c r="I4" s="73" t="s">
        <v>32</v>
      </c>
      <c r="J4" s="74"/>
      <c r="K4" s="75"/>
      <c r="L4" s="73" t="s">
        <v>11</v>
      </c>
      <c r="M4" s="74"/>
      <c r="N4" s="75"/>
      <c r="O4" s="66" t="s">
        <v>12</v>
      </c>
      <c r="P4" s="67"/>
      <c r="Q4" s="68"/>
      <c r="R4" s="66" t="s">
        <v>10</v>
      </c>
      <c r="S4" s="67"/>
      <c r="T4" s="68"/>
      <c r="U4" s="66" t="s">
        <v>14</v>
      </c>
      <c r="V4" s="67"/>
      <c r="W4" s="68"/>
      <c r="X4" s="78" t="s">
        <v>15</v>
      </c>
      <c r="Y4" s="79"/>
      <c r="Z4" s="80"/>
      <c r="AA4" s="66" t="s">
        <v>16</v>
      </c>
      <c r="AB4" s="67"/>
      <c r="AC4" s="68"/>
      <c r="AD4" s="66" t="s">
        <v>17</v>
      </c>
      <c r="AE4" s="67"/>
      <c r="AF4" s="68"/>
      <c r="AG4" s="66" t="s">
        <v>19</v>
      </c>
      <c r="AH4" s="67"/>
      <c r="AI4" s="68"/>
      <c r="AJ4" s="66" t="s">
        <v>20</v>
      </c>
      <c r="AK4" s="67"/>
      <c r="AL4" s="68"/>
      <c r="AM4" s="66" t="s">
        <v>23</v>
      </c>
      <c r="AN4" s="67"/>
      <c r="AO4" s="68"/>
      <c r="AP4" s="66" t="s">
        <v>24</v>
      </c>
      <c r="AQ4" s="67"/>
      <c r="AR4" s="68"/>
      <c r="AS4" s="66" t="s">
        <v>25</v>
      </c>
      <c r="AT4" s="67"/>
      <c r="AU4" s="68"/>
      <c r="AV4" s="66" t="s">
        <v>69</v>
      </c>
      <c r="AW4" s="67"/>
      <c r="AX4" s="68"/>
      <c r="AY4" s="66" t="s">
        <v>70</v>
      </c>
      <c r="AZ4" s="67"/>
      <c r="BA4" s="68"/>
      <c r="BB4" s="66" t="s">
        <v>71</v>
      </c>
      <c r="BC4" s="67"/>
      <c r="BD4" s="68"/>
      <c r="BE4" s="66" t="s">
        <v>72</v>
      </c>
      <c r="BF4" s="67"/>
      <c r="BG4" s="68"/>
      <c r="BH4" s="66" t="s">
        <v>73</v>
      </c>
      <c r="BI4" s="67"/>
      <c r="BJ4" s="68"/>
      <c r="BK4" s="66" t="s">
        <v>74</v>
      </c>
      <c r="BL4" s="67"/>
      <c r="BM4" s="68"/>
      <c r="BN4" s="66" t="s">
        <v>75</v>
      </c>
      <c r="BO4" s="67"/>
      <c r="BP4" s="68"/>
      <c r="BQ4" s="66" t="s">
        <v>76</v>
      </c>
      <c r="BR4" s="67"/>
      <c r="BS4" s="68"/>
      <c r="BT4" s="66" t="s">
        <v>77</v>
      </c>
      <c r="BU4" s="67"/>
      <c r="BV4" s="68"/>
      <c r="BW4" s="66" t="s">
        <v>78</v>
      </c>
      <c r="BX4" s="67"/>
      <c r="BY4" s="68"/>
    </row>
    <row r="5" spans="1:78" s="8" customFormat="1" ht="80.45" customHeight="1" x14ac:dyDescent="0.25">
      <c r="A5" s="12" t="s">
        <v>8</v>
      </c>
      <c r="B5" s="12" t="s">
        <v>0</v>
      </c>
      <c r="C5" s="25" t="s">
        <v>21</v>
      </c>
      <c r="D5" s="24" t="s">
        <v>9</v>
      </c>
      <c r="E5" s="13" t="s">
        <v>4</v>
      </c>
      <c r="F5" s="13" t="s">
        <v>7</v>
      </c>
      <c r="G5" s="13" t="s">
        <v>22</v>
      </c>
      <c r="H5" s="13" t="s">
        <v>5</v>
      </c>
      <c r="I5" s="47" t="s">
        <v>1</v>
      </c>
      <c r="J5" s="48" t="s">
        <v>2</v>
      </c>
      <c r="K5" s="49" t="s">
        <v>3</v>
      </c>
      <c r="L5" s="47" t="s">
        <v>1</v>
      </c>
      <c r="M5" s="48" t="s">
        <v>2</v>
      </c>
      <c r="N5" s="49" t="s">
        <v>3</v>
      </c>
      <c r="O5" s="26" t="s">
        <v>1</v>
      </c>
      <c r="P5" s="13" t="s">
        <v>2</v>
      </c>
      <c r="Q5" s="29" t="s">
        <v>3</v>
      </c>
      <c r="R5" s="26" t="s">
        <v>1</v>
      </c>
      <c r="S5" s="13" t="s">
        <v>2</v>
      </c>
      <c r="T5" s="29" t="s">
        <v>3</v>
      </c>
      <c r="U5" s="26" t="s">
        <v>1</v>
      </c>
      <c r="V5" s="13" t="s">
        <v>2</v>
      </c>
      <c r="W5" s="29" t="s">
        <v>3</v>
      </c>
      <c r="X5" s="51" t="s">
        <v>1</v>
      </c>
      <c r="Y5" s="52" t="s">
        <v>2</v>
      </c>
      <c r="Z5" s="53" t="s">
        <v>3</v>
      </c>
      <c r="AA5" s="26" t="s">
        <v>1</v>
      </c>
      <c r="AB5" s="23" t="s">
        <v>2</v>
      </c>
      <c r="AC5" s="29" t="s">
        <v>3</v>
      </c>
      <c r="AD5" s="26" t="s">
        <v>1</v>
      </c>
      <c r="AE5" s="23" t="s">
        <v>2</v>
      </c>
      <c r="AF5" s="29" t="s">
        <v>3</v>
      </c>
      <c r="AG5" s="26" t="s">
        <v>1</v>
      </c>
      <c r="AH5" s="23" t="s">
        <v>2</v>
      </c>
      <c r="AI5" s="29" t="s">
        <v>3</v>
      </c>
      <c r="AJ5" s="26" t="s">
        <v>1</v>
      </c>
      <c r="AK5" s="23" t="s">
        <v>2</v>
      </c>
      <c r="AL5" s="29" t="s">
        <v>3</v>
      </c>
      <c r="AM5" s="26" t="s">
        <v>1</v>
      </c>
      <c r="AN5" s="23" t="s">
        <v>2</v>
      </c>
      <c r="AO5" s="29" t="s">
        <v>3</v>
      </c>
      <c r="AP5" s="26" t="s">
        <v>1</v>
      </c>
      <c r="AQ5" s="23" t="s">
        <v>2</v>
      </c>
      <c r="AR5" s="29" t="s">
        <v>3</v>
      </c>
      <c r="AS5" s="26" t="s">
        <v>1</v>
      </c>
      <c r="AT5" s="23" t="s">
        <v>2</v>
      </c>
      <c r="AU5" s="29" t="s">
        <v>3</v>
      </c>
      <c r="AV5" s="26" t="s">
        <v>1</v>
      </c>
      <c r="AW5" s="23" t="s">
        <v>2</v>
      </c>
      <c r="AX5" s="29" t="s">
        <v>3</v>
      </c>
      <c r="AY5" s="26" t="s">
        <v>1</v>
      </c>
      <c r="AZ5" s="23" t="s">
        <v>2</v>
      </c>
      <c r="BA5" s="29" t="s">
        <v>3</v>
      </c>
      <c r="BB5" s="26" t="s">
        <v>1</v>
      </c>
      <c r="BC5" s="23" t="s">
        <v>2</v>
      </c>
      <c r="BD5" s="29" t="s">
        <v>3</v>
      </c>
      <c r="BE5" s="26" t="s">
        <v>1</v>
      </c>
      <c r="BF5" s="23" t="s">
        <v>2</v>
      </c>
      <c r="BG5" s="29" t="s">
        <v>3</v>
      </c>
      <c r="BH5" s="26" t="s">
        <v>1</v>
      </c>
      <c r="BI5" s="23" t="s">
        <v>2</v>
      </c>
      <c r="BJ5" s="29" t="s">
        <v>3</v>
      </c>
      <c r="BK5" s="26" t="s">
        <v>1</v>
      </c>
      <c r="BL5" s="23" t="s">
        <v>2</v>
      </c>
      <c r="BM5" s="29" t="s">
        <v>3</v>
      </c>
      <c r="BN5" s="26" t="s">
        <v>1</v>
      </c>
      <c r="BO5" s="23" t="s">
        <v>2</v>
      </c>
      <c r="BP5" s="29" t="s">
        <v>3</v>
      </c>
      <c r="BQ5" s="26" t="s">
        <v>1</v>
      </c>
      <c r="BR5" s="23" t="s">
        <v>2</v>
      </c>
      <c r="BS5" s="29" t="s">
        <v>3</v>
      </c>
      <c r="BT5" s="26" t="s">
        <v>1</v>
      </c>
      <c r="BU5" s="23" t="s">
        <v>2</v>
      </c>
      <c r="BV5" s="29" t="s">
        <v>3</v>
      </c>
      <c r="BW5" s="26" t="s">
        <v>1</v>
      </c>
      <c r="BX5" s="23" t="s">
        <v>2</v>
      </c>
      <c r="BY5" s="29" t="s">
        <v>3</v>
      </c>
    </row>
    <row r="6" spans="1:78" s="19" customFormat="1" x14ac:dyDescent="0.25">
      <c r="A6" s="19" t="s">
        <v>33</v>
      </c>
      <c r="B6" s="19" t="s">
        <v>34</v>
      </c>
      <c r="C6" s="18">
        <v>344</v>
      </c>
      <c r="D6" s="18" t="s">
        <v>18</v>
      </c>
      <c r="E6" s="21">
        <v>22</v>
      </c>
      <c r="F6" s="20">
        <f>57+3+1</f>
        <v>61</v>
      </c>
      <c r="G6" s="20">
        <f>+C6-F6</f>
        <v>283</v>
      </c>
      <c r="H6" s="20">
        <f>+K6+N6+Q6+T6+W6+Z6+AC6+AF6+AI6+AL6+AO6+AR6+AU6</f>
        <v>344</v>
      </c>
      <c r="I6" s="55">
        <v>8</v>
      </c>
      <c r="J6" s="50">
        <f>+E6*K6</f>
        <v>1254</v>
      </c>
      <c r="K6" s="57">
        <v>57</v>
      </c>
      <c r="L6" s="56">
        <v>8</v>
      </c>
      <c r="M6" s="50">
        <f t="shared" ref="M6:M20" si="0">+N6*E6</f>
        <v>66</v>
      </c>
      <c r="N6" s="57">
        <v>3</v>
      </c>
      <c r="O6" s="27">
        <f>+P6/40</f>
        <v>0.55000000000000004</v>
      </c>
      <c r="P6" s="22">
        <f>+Q6*E6</f>
        <v>22</v>
      </c>
      <c r="Q6" s="30">
        <v>1</v>
      </c>
      <c r="R6" s="27"/>
      <c r="S6" s="22"/>
      <c r="T6" s="30"/>
      <c r="U6" s="27"/>
      <c r="V6" s="22"/>
      <c r="W6" s="30"/>
      <c r="X6" s="60">
        <f>+Y6/40</f>
        <v>155.65</v>
      </c>
      <c r="Y6" s="44">
        <f t="shared" ref="Y6:Y20" si="1">+Z6*E6</f>
        <v>6226</v>
      </c>
      <c r="Z6" s="62">
        <f>141+142</f>
        <v>283</v>
      </c>
      <c r="AA6" s="27"/>
      <c r="AB6" s="22"/>
      <c r="AC6" s="30"/>
      <c r="AD6" s="27"/>
      <c r="AE6" s="22"/>
      <c r="AF6" s="30"/>
      <c r="AG6" s="27"/>
      <c r="AH6" s="22"/>
      <c r="AI6" s="30"/>
      <c r="AJ6" s="27"/>
      <c r="AK6" s="22"/>
      <c r="AL6" s="30"/>
      <c r="AM6" s="27"/>
      <c r="AN6" s="22"/>
      <c r="AO6" s="30"/>
      <c r="AP6" s="27"/>
      <c r="AQ6" s="22"/>
      <c r="AR6" s="30"/>
      <c r="AS6" s="27"/>
      <c r="AT6" s="22"/>
      <c r="AU6" s="30"/>
      <c r="AV6" s="34"/>
      <c r="AX6" s="63"/>
      <c r="AY6" s="34"/>
      <c r="BA6" s="63"/>
      <c r="BB6" s="34"/>
      <c r="BD6" s="63"/>
      <c r="BE6" s="34"/>
      <c r="BG6" s="63"/>
      <c r="BH6" s="34"/>
      <c r="BJ6" s="63"/>
      <c r="BK6" s="34"/>
      <c r="BM6" s="63"/>
      <c r="BN6" s="34"/>
      <c r="BP6" s="63"/>
      <c r="BQ6" s="34"/>
      <c r="BS6" s="63"/>
      <c r="BT6" s="34"/>
      <c r="BV6" s="63"/>
      <c r="BW6" s="34"/>
      <c r="BY6" s="63"/>
      <c r="BZ6" s="34"/>
    </row>
    <row r="7" spans="1:78" s="19" customFormat="1" x14ac:dyDescent="0.25">
      <c r="A7" s="19" t="s">
        <v>33</v>
      </c>
      <c r="B7" s="19" t="s">
        <v>62</v>
      </c>
      <c r="C7" s="18">
        <v>30</v>
      </c>
      <c r="D7" s="18" t="s">
        <v>18</v>
      </c>
      <c r="E7" s="21">
        <v>22</v>
      </c>
      <c r="F7" s="20">
        <v>0</v>
      </c>
      <c r="G7" s="20">
        <f t="shared" ref="G7" si="2">+C7-F7</f>
        <v>30</v>
      </c>
      <c r="H7" s="20">
        <f>+K7+N7+Q7+T7+W7+Z7+AC7+AF7+AI7+AL7+AO7+AR7+AU7</f>
        <v>30</v>
      </c>
      <c r="I7" s="55"/>
      <c r="J7" s="50"/>
      <c r="K7" s="57"/>
      <c r="L7" s="56"/>
      <c r="M7" s="50">
        <f t="shared" si="0"/>
        <v>0</v>
      </c>
      <c r="N7" s="57"/>
      <c r="O7" s="27"/>
      <c r="P7" s="22"/>
      <c r="Q7" s="30"/>
      <c r="R7" s="27"/>
      <c r="S7" s="22"/>
      <c r="T7" s="30"/>
      <c r="U7" s="27"/>
      <c r="V7" s="22"/>
      <c r="W7" s="30"/>
      <c r="X7" s="60">
        <f>+Y7/40</f>
        <v>16.5</v>
      </c>
      <c r="Y7" s="44">
        <f t="shared" si="1"/>
        <v>660</v>
      </c>
      <c r="Z7" s="62">
        <f>15+15</f>
        <v>30</v>
      </c>
      <c r="AA7" s="27"/>
      <c r="AB7" s="22"/>
      <c r="AC7" s="30"/>
      <c r="AD7" s="27"/>
      <c r="AE7" s="22"/>
      <c r="AF7" s="30"/>
      <c r="AG7" s="27"/>
      <c r="AH7" s="22"/>
      <c r="AI7" s="30"/>
      <c r="AJ7" s="27"/>
      <c r="AK7" s="22"/>
      <c r="AL7" s="30"/>
      <c r="AM7" s="27"/>
      <c r="AN7" s="22"/>
      <c r="AO7" s="30"/>
      <c r="AP7" s="27"/>
      <c r="AQ7" s="22"/>
      <c r="AR7" s="30"/>
      <c r="AS7" s="27"/>
      <c r="AT7" s="22"/>
      <c r="AU7" s="30"/>
      <c r="AV7" s="34"/>
      <c r="AX7" s="63"/>
      <c r="AY7" s="34"/>
      <c r="BA7" s="63"/>
      <c r="BB7" s="34"/>
      <c r="BD7" s="63"/>
      <c r="BE7" s="34"/>
      <c r="BG7" s="63"/>
      <c r="BH7" s="34"/>
      <c r="BJ7" s="63"/>
      <c r="BK7" s="34"/>
      <c r="BM7" s="63"/>
      <c r="BN7" s="34"/>
      <c r="BP7" s="63"/>
      <c r="BQ7" s="34"/>
      <c r="BS7" s="63"/>
      <c r="BT7" s="34"/>
      <c r="BV7" s="63"/>
      <c r="BW7" s="34"/>
      <c r="BY7" s="63"/>
      <c r="BZ7" s="34"/>
    </row>
    <row r="8" spans="1:78" s="19" customFormat="1" x14ac:dyDescent="0.25">
      <c r="A8" s="19" t="s">
        <v>33</v>
      </c>
      <c r="B8" s="19" t="s">
        <v>35</v>
      </c>
      <c r="C8" s="18">
        <v>222</v>
      </c>
      <c r="D8" s="18" t="s">
        <v>18</v>
      </c>
      <c r="E8" s="21">
        <v>22</v>
      </c>
      <c r="F8" s="20">
        <v>0</v>
      </c>
      <c r="G8" s="20">
        <f t="shared" ref="G8:G43" si="3">+C8-F8</f>
        <v>222</v>
      </c>
      <c r="H8" s="20">
        <f t="shared" ref="H8:H49" si="4">+K8+N8+Q8+T8+W8+Z8+AC8+AF8+AI8+AL8+AO8+AR8+AU8</f>
        <v>222</v>
      </c>
      <c r="I8" s="55"/>
      <c r="J8" s="50"/>
      <c r="K8" s="57"/>
      <c r="L8" s="56"/>
      <c r="M8" s="50">
        <f t="shared" si="0"/>
        <v>0</v>
      </c>
      <c r="N8" s="57"/>
      <c r="O8" s="27">
        <f t="shared" ref="O8:O19" si="5">+P8/40</f>
        <v>0</v>
      </c>
      <c r="P8" s="22">
        <f t="shared" ref="P8:P20" si="6">+Q8*E8</f>
        <v>0</v>
      </c>
      <c r="Q8" s="30">
        <v>0</v>
      </c>
      <c r="R8" s="27"/>
      <c r="S8" s="22"/>
      <c r="T8" s="30"/>
      <c r="U8" s="27"/>
      <c r="V8" s="22"/>
      <c r="W8" s="30"/>
      <c r="X8" s="60">
        <f t="shared" ref="X8:X34" si="7">+Y8/40</f>
        <v>122.1</v>
      </c>
      <c r="Y8" s="44">
        <f t="shared" si="1"/>
        <v>4884</v>
      </c>
      <c r="Z8" s="62">
        <f>111+111</f>
        <v>222</v>
      </c>
      <c r="AA8" s="27"/>
      <c r="AB8" s="22"/>
      <c r="AC8" s="30"/>
      <c r="AD8" s="27"/>
      <c r="AE8" s="22"/>
      <c r="AF8" s="30"/>
      <c r="AG8" s="27"/>
      <c r="AH8" s="22"/>
      <c r="AI8" s="30"/>
      <c r="AJ8" s="27"/>
      <c r="AK8" s="22"/>
      <c r="AL8" s="30"/>
      <c r="AM8" s="27"/>
      <c r="AN8" s="22"/>
      <c r="AO8" s="30"/>
      <c r="AP8" s="27"/>
      <c r="AQ8" s="22"/>
      <c r="AR8" s="30"/>
      <c r="AS8" s="27"/>
      <c r="AT8" s="22"/>
      <c r="AU8" s="30"/>
      <c r="AV8" s="34"/>
      <c r="AX8" s="63"/>
      <c r="AY8" s="34"/>
      <c r="BA8" s="63"/>
      <c r="BB8" s="34"/>
      <c r="BD8" s="63"/>
      <c r="BE8" s="34"/>
      <c r="BG8" s="63"/>
      <c r="BH8" s="34"/>
      <c r="BJ8" s="63"/>
      <c r="BK8" s="34"/>
      <c r="BM8" s="63"/>
      <c r="BN8" s="34"/>
      <c r="BP8" s="63"/>
      <c r="BQ8" s="34"/>
      <c r="BS8" s="63"/>
      <c r="BT8" s="34"/>
      <c r="BV8" s="63"/>
      <c r="BW8" s="34"/>
      <c r="BY8" s="63"/>
      <c r="BZ8" s="34"/>
    </row>
    <row r="9" spans="1:78" s="19" customFormat="1" x14ac:dyDescent="0.25">
      <c r="A9" s="19" t="s">
        <v>33</v>
      </c>
      <c r="B9" s="19" t="s">
        <v>36</v>
      </c>
      <c r="C9" s="18">
        <v>120</v>
      </c>
      <c r="D9" s="18" t="s">
        <v>18</v>
      </c>
      <c r="E9" s="21">
        <v>22</v>
      </c>
      <c r="F9" s="20">
        <v>0</v>
      </c>
      <c r="G9" s="20">
        <f t="shared" si="3"/>
        <v>120</v>
      </c>
      <c r="H9" s="20">
        <f t="shared" si="4"/>
        <v>120</v>
      </c>
      <c r="I9" s="55"/>
      <c r="J9" s="50"/>
      <c r="K9" s="57"/>
      <c r="L9" s="56"/>
      <c r="M9" s="50">
        <f t="shared" si="0"/>
        <v>0</v>
      </c>
      <c r="N9" s="57"/>
      <c r="O9" s="27">
        <f t="shared" si="5"/>
        <v>0</v>
      </c>
      <c r="P9" s="22">
        <f t="shared" si="6"/>
        <v>0</v>
      </c>
      <c r="Q9" s="30">
        <v>0</v>
      </c>
      <c r="R9" s="27"/>
      <c r="S9" s="22"/>
      <c r="T9" s="30"/>
      <c r="U9" s="27"/>
      <c r="V9" s="22"/>
      <c r="W9" s="30"/>
      <c r="X9" s="60">
        <f t="shared" si="7"/>
        <v>66</v>
      </c>
      <c r="Y9" s="44">
        <f t="shared" si="1"/>
        <v>2640</v>
      </c>
      <c r="Z9" s="62">
        <f>60+60</f>
        <v>120</v>
      </c>
      <c r="AA9" s="27"/>
      <c r="AB9" s="22"/>
      <c r="AC9" s="30"/>
      <c r="AD9" s="27"/>
      <c r="AE9" s="22"/>
      <c r="AF9" s="30"/>
      <c r="AG9" s="27"/>
      <c r="AH9" s="22"/>
      <c r="AI9" s="30"/>
      <c r="AJ9" s="27"/>
      <c r="AK9" s="22"/>
      <c r="AL9" s="30"/>
      <c r="AM9" s="27"/>
      <c r="AN9" s="22"/>
      <c r="AO9" s="30"/>
      <c r="AP9" s="27"/>
      <c r="AQ9" s="22"/>
      <c r="AR9" s="30"/>
      <c r="AS9" s="27"/>
      <c r="AT9" s="22"/>
      <c r="AU9" s="30"/>
      <c r="AV9" s="34"/>
      <c r="AX9" s="63"/>
      <c r="AY9" s="34"/>
      <c r="BA9" s="63"/>
      <c r="BB9" s="34"/>
      <c r="BD9" s="63"/>
      <c r="BE9" s="34"/>
      <c r="BG9" s="63"/>
      <c r="BH9" s="34"/>
      <c r="BJ9" s="63"/>
      <c r="BK9" s="34"/>
      <c r="BM9" s="63"/>
      <c r="BN9" s="34"/>
      <c r="BP9" s="63"/>
      <c r="BQ9" s="34"/>
      <c r="BS9" s="63"/>
      <c r="BT9" s="34"/>
      <c r="BV9" s="63"/>
      <c r="BW9" s="34"/>
      <c r="BY9" s="63"/>
      <c r="BZ9" s="34"/>
    </row>
    <row r="10" spans="1:78" s="19" customFormat="1" x14ac:dyDescent="0.25">
      <c r="A10" s="19" t="s">
        <v>33</v>
      </c>
      <c r="B10" s="19" t="s">
        <v>89</v>
      </c>
      <c r="C10" s="18">
        <v>410</v>
      </c>
      <c r="D10" s="18" t="s">
        <v>18</v>
      </c>
      <c r="E10" s="21">
        <v>22</v>
      </c>
      <c r="F10" s="20">
        <v>0</v>
      </c>
      <c r="G10" s="20">
        <f t="shared" si="3"/>
        <v>410</v>
      </c>
      <c r="H10" s="20">
        <f t="shared" si="4"/>
        <v>410</v>
      </c>
      <c r="I10" s="55"/>
      <c r="J10" s="50"/>
      <c r="K10" s="57"/>
      <c r="L10" s="56"/>
      <c r="M10" s="50">
        <f t="shared" si="0"/>
        <v>0</v>
      </c>
      <c r="N10" s="57"/>
      <c r="O10" s="27">
        <f t="shared" si="5"/>
        <v>0</v>
      </c>
      <c r="P10" s="22">
        <f t="shared" si="6"/>
        <v>0</v>
      </c>
      <c r="Q10" s="30">
        <v>0</v>
      </c>
      <c r="R10" s="27"/>
      <c r="S10" s="22"/>
      <c r="T10" s="30"/>
      <c r="U10" s="27"/>
      <c r="V10" s="22"/>
      <c r="W10" s="30"/>
      <c r="X10" s="60">
        <f t="shared" si="7"/>
        <v>225.5</v>
      </c>
      <c r="Y10" s="44">
        <f t="shared" si="1"/>
        <v>9020</v>
      </c>
      <c r="Z10" s="62">
        <v>410</v>
      </c>
      <c r="AA10" s="27"/>
      <c r="AB10" s="22"/>
      <c r="AC10" s="30"/>
      <c r="AD10" s="27"/>
      <c r="AE10" s="22"/>
      <c r="AF10" s="30"/>
      <c r="AG10" s="27"/>
      <c r="AH10" s="22"/>
      <c r="AI10" s="30"/>
      <c r="AJ10" s="27"/>
      <c r="AK10" s="22"/>
      <c r="AL10" s="30"/>
      <c r="AM10" s="27"/>
      <c r="AN10" s="22"/>
      <c r="AO10" s="30"/>
      <c r="AP10" s="27"/>
      <c r="AQ10" s="22"/>
      <c r="AR10" s="30"/>
      <c r="AS10" s="27"/>
      <c r="AT10" s="22"/>
      <c r="AU10" s="30"/>
      <c r="AV10" s="34"/>
      <c r="AX10" s="63"/>
      <c r="AY10" s="34"/>
      <c r="BA10" s="63"/>
      <c r="BB10" s="34"/>
      <c r="BD10" s="63"/>
      <c r="BE10" s="34"/>
      <c r="BG10" s="63"/>
      <c r="BH10" s="34"/>
      <c r="BJ10" s="63"/>
      <c r="BK10" s="34"/>
      <c r="BM10" s="63"/>
      <c r="BN10" s="34"/>
      <c r="BP10" s="63"/>
      <c r="BQ10" s="34"/>
      <c r="BS10" s="63"/>
      <c r="BT10" s="34"/>
      <c r="BV10" s="63"/>
      <c r="BW10" s="34"/>
      <c r="BY10" s="63"/>
      <c r="BZ10" s="34"/>
    </row>
    <row r="11" spans="1:78" s="19" customFormat="1" x14ac:dyDescent="0.25">
      <c r="A11" s="19" t="s">
        <v>33</v>
      </c>
      <c r="B11" s="19" t="s">
        <v>37</v>
      </c>
      <c r="C11" s="18">
        <v>73</v>
      </c>
      <c r="D11" s="18" t="s">
        <v>18</v>
      </c>
      <c r="E11" s="21">
        <v>29</v>
      </c>
      <c r="F11" s="20">
        <f>7+1</f>
        <v>8</v>
      </c>
      <c r="G11" s="20">
        <f t="shared" si="3"/>
        <v>65</v>
      </c>
      <c r="H11" s="20">
        <f t="shared" si="4"/>
        <v>73</v>
      </c>
      <c r="I11" s="55"/>
      <c r="J11" s="50"/>
      <c r="K11" s="57"/>
      <c r="L11" s="56">
        <v>8</v>
      </c>
      <c r="M11" s="50">
        <f t="shared" si="0"/>
        <v>203</v>
      </c>
      <c r="N11" s="57">
        <v>7</v>
      </c>
      <c r="O11" s="27">
        <f t="shared" si="5"/>
        <v>0.72499999999999998</v>
      </c>
      <c r="P11" s="22">
        <f t="shared" si="6"/>
        <v>29</v>
      </c>
      <c r="Q11" s="30">
        <v>1</v>
      </c>
      <c r="R11" s="27"/>
      <c r="S11" s="22"/>
      <c r="T11" s="30"/>
      <c r="U11" s="27"/>
      <c r="V11" s="22"/>
      <c r="W11" s="30"/>
      <c r="X11" s="60">
        <f t="shared" si="7"/>
        <v>47.125</v>
      </c>
      <c r="Y11" s="44">
        <f t="shared" si="1"/>
        <v>1885</v>
      </c>
      <c r="Z11" s="62">
        <f>33+32</f>
        <v>65</v>
      </c>
      <c r="AA11" s="27"/>
      <c r="AB11" s="22"/>
      <c r="AC11" s="30"/>
      <c r="AD11" s="27"/>
      <c r="AE11" s="22"/>
      <c r="AF11" s="30"/>
      <c r="AG11" s="27"/>
      <c r="AH11" s="22"/>
      <c r="AI11" s="30"/>
      <c r="AJ11" s="27"/>
      <c r="AK11" s="22"/>
      <c r="AL11" s="30"/>
      <c r="AM11" s="27"/>
      <c r="AN11" s="22"/>
      <c r="AO11" s="30"/>
      <c r="AP11" s="27"/>
      <c r="AQ11" s="22"/>
      <c r="AR11" s="30"/>
      <c r="AS11" s="27"/>
      <c r="AT11" s="22"/>
      <c r="AU11" s="30"/>
      <c r="AV11" s="34"/>
      <c r="AX11" s="63"/>
      <c r="AY11" s="34"/>
      <c r="BA11" s="63"/>
      <c r="BB11" s="34"/>
      <c r="BD11" s="63"/>
      <c r="BE11" s="34"/>
      <c r="BG11" s="63"/>
      <c r="BH11" s="34"/>
      <c r="BJ11" s="63"/>
      <c r="BK11" s="34"/>
      <c r="BM11" s="63"/>
      <c r="BN11" s="34"/>
      <c r="BP11" s="63"/>
      <c r="BQ11" s="34"/>
      <c r="BS11" s="63"/>
      <c r="BT11" s="34"/>
      <c r="BV11" s="63"/>
      <c r="BW11" s="34"/>
      <c r="BY11" s="63"/>
      <c r="BZ11" s="34"/>
    </row>
    <row r="12" spans="1:78" s="19" customFormat="1" x14ac:dyDescent="0.25">
      <c r="A12" s="19" t="s">
        <v>33</v>
      </c>
      <c r="B12" s="19" t="s">
        <v>38</v>
      </c>
      <c r="C12" s="18">
        <v>80</v>
      </c>
      <c r="D12" s="18" t="s">
        <v>18</v>
      </c>
      <c r="E12" s="21">
        <v>29</v>
      </c>
      <c r="F12" s="20">
        <v>0</v>
      </c>
      <c r="G12" s="20">
        <f t="shared" si="3"/>
        <v>80</v>
      </c>
      <c r="H12" s="20">
        <f t="shared" si="4"/>
        <v>80</v>
      </c>
      <c r="I12" s="55"/>
      <c r="J12" s="50"/>
      <c r="K12" s="57"/>
      <c r="L12" s="56"/>
      <c r="M12" s="50">
        <f t="shared" si="0"/>
        <v>0</v>
      </c>
      <c r="N12" s="57"/>
      <c r="O12" s="27">
        <f t="shared" si="5"/>
        <v>0</v>
      </c>
      <c r="P12" s="22">
        <f t="shared" si="6"/>
        <v>0</v>
      </c>
      <c r="Q12" s="30">
        <v>0</v>
      </c>
      <c r="R12" s="27"/>
      <c r="S12" s="22"/>
      <c r="T12" s="30"/>
      <c r="U12" s="27"/>
      <c r="V12" s="22"/>
      <c r="W12" s="30"/>
      <c r="X12" s="60">
        <f t="shared" si="7"/>
        <v>58</v>
      </c>
      <c r="Y12" s="44">
        <f t="shared" si="1"/>
        <v>2320</v>
      </c>
      <c r="Z12" s="62">
        <f>40+40</f>
        <v>80</v>
      </c>
      <c r="AA12" s="27"/>
      <c r="AB12" s="22"/>
      <c r="AC12" s="30"/>
      <c r="AD12" s="27"/>
      <c r="AE12" s="22"/>
      <c r="AF12" s="30"/>
      <c r="AG12" s="27"/>
      <c r="AH12" s="22"/>
      <c r="AI12" s="30"/>
      <c r="AJ12" s="27"/>
      <c r="AK12" s="22"/>
      <c r="AL12" s="30"/>
      <c r="AM12" s="27"/>
      <c r="AN12" s="22"/>
      <c r="AO12" s="30"/>
      <c r="AP12" s="27"/>
      <c r="AQ12" s="22"/>
      <c r="AR12" s="30"/>
      <c r="AS12" s="27"/>
      <c r="AT12" s="22"/>
      <c r="AU12" s="30"/>
      <c r="AV12" s="34"/>
      <c r="AX12" s="63"/>
      <c r="AY12" s="34"/>
      <c r="BA12" s="63"/>
      <c r="BB12" s="34"/>
      <c r="BD12" s="63"/>
      <c r="BE12" s="34"/>
      <c r="BG12" s="63"/>
      <c r="BH12" s="34"/>
      <c r="BJ12" s="63"/>
      <c r="BK12" s="34"/>
      <c r="BM12" s="63"/>
      <c r="BN12" s="34"/>
      <c r="BP12" s="63"/>
      <c r="BQ12" s="34"/>
      <c r="BS12" s="63"/>
      <c r="BT12" s="34"/>
      <c r="BV12" s="63"/>
      <c r="BW12" s="34"/>
      <c r="BY12" s="63"/>
      <c r="BZ12" s="34"/>
    </row>
    <row r="13" spans="1:78" s="19" customFormat="1" x14ac:dyDescent="0.25">
      <c r="A13" s="19" t="s">
        <v>33</v>
      </c>
      <c r="B13" s="19" t="s">
        <v>39</v>
      </c>
      <c r="C13" s="18">
        <v>80</v>
      </c>
      <c r="D13" s="18" t="s">
        <v>18</v>
      </c>
      <c r="E13" s="21">
        <v>29</v>
      </c>
      <c r="F13" s="20">
        <v>0</v>
      </c>
      <c r="G13" s="20">
        <f t="shared" si="3"/>
        <v>80</v>
      </c>
      <c r="H13" s="20">
        <f t="shared" si="4"/>
        <v>80</v>
      </c>
      <c r="I13" s="55"/>
      <c r="J13" s="50"/>
      <c r="K13" s="57"/>
      <c r="L13" s="56"/>
      <c r="M13" s="50">
        <f t="shared" si="0"/>
        <v>0</v>
      </c>
      <c r="N13" s="57"/>
      <c r="O13" s="27">
        <f t="shared" si="5"/>
        <v>0</v>
      </c>
      <c r="P13" s="22">
        <f t="shared" si="6"/>
        <v>0</v>
      </c>
      <c r="Q13" s="30">
        <v>0</v>
      </c>
      <c r="R13" s="27"/>
      <c r="S13" s="22"/>
      <c r="T13" s="30"/>
      <c r="U13" s="27"/>
      <c r="V13" s="22"/>
      <c r="W13" s="30"/>
      <c r="X13" s="60">
        <f t="shared" si="7"/>
        <v>58</v>
      </c>
      <c r="Y13" s="44">
        <f t="shared" si="1"/>
        <v>2320</v>
      </c>
      <c r="Z13" s="62">
        <f>40+40</f>
        <v>80</v>
      </c>
      <c r="AA13" s="27"/>
      <c r="AB13" s="22"/>
      <c r="AC13" s="30"/>
      <c r="AD13" s="27"/>
      <c r="AE13" s="22"/>
      <c r="AF13" s="30"/>
      <c r="AG13" s="27"/>
      <c r="AH13" s="22"/>
      <c r="AI13" s="30"/>
      <c r="AJ13" s="27"/>
      <c r="AK13" s="22"/>
      <c r="AL13" s="30"/>
      <c r="AM13" s="27"/>
      <c r="AN13" s="22"/>
      <c r="AO13" s="30"/>
      <c r="AP13" s="27"/>
      <c r="AQ13" s="22"/>
      <c r="AR13" s="30"/>
      <c r="AS13" s="27"/>
      <c r="AT13" s="22"/>
      <c r="AU13" s="30"/>
      <c r="AV13" s="34"/>
      <c r="AX13" s="63"/>
      <c r="AY13" s="34"/>
      <c r="BA13" s="63"/>
      <c r="BB13" s="34"/>
      <c r="BD13" s="63"/>
      <c r="BE13" s="34"/>
      <c r="BG13" s="63"/>
      <c r="BH13" s="34"/>
      <c r="BJ13" s="63"/>
      <c r="BK13" s="34"/>
      <c r="BM13" s="63"/>
      <c r="BN13" s="34"/>
      <c r="BP13" s="63"/>
      <c r="BQ13" s="34"/>
      <c r="BS13" s="63"/>
      <c r="BT13" s="34"/>
      <c r="BV13" s="63"/>
      <c r="BW13" s="34"/>
      <c r="BY13" s="63"/>
      <c r="BZ13" s="34"/>
    </row>
    <row r="14" spans="1:78" s="19" customFormat="1" x14ac:dyDescent="0.25">
      <c r="A14" s="19" t="s">
        <v>33</v>
      </c>
      <c r="B14" s="19" t="s">
        <v>60</v>
      </c>
      <c r="C14" s="18">
        <v>330</v>
      </c>
      <c r="D14" s="18" t="s">
        <v>18</v>
      </c>
      <c r="E14" s="21">
        <v>29</v>
      </c>
      <c r="F14" s="20">
        <v>0</v>
      </c>
      <c r="G14" s="20">
        <f t="shared" si="3"/>
        <v>330</v>
      </c>
      <c r="H14" s="20">
        <f t="shared" si="4"/>
        <v>330</v>
      </c>
      <c r="I14" s="55"/>
      <c r="J14" s="50"/>
      <c r="K14" s="57"/>
      <c r="L14" s="56"/>
      <c r="M14" s="50">
        <f t="shared" si="0"/>
        <v>0</v>
      </c>
      <c r="N14" s="57"/>
      <c r="O14" s="27">
        <f t="shared" si="5"/>
        <v>0</v>
      </c>
      <c r="P14" s="22">
        <f t="shared" si="6"/>
        <v>0</v>
      </c>
      <c r="Q14" s="30">
        <v>0</v>
      </c>
      <c r="R14" s="27"/>
      <c r="S14" s="22"/>
      <c r="T14" s="30"/>
      <c r="U14" s="27"/>
      <c r="V14" s="22"/>
      <c r="W14" s="30"/>
      <c r="X14" s="60">
        <f t="shared" si="7"/>
        <v>239.25</v>
      </c>
      <c r="Y14" s="44">
        <f t="shared" si="1"/>
        <v>9570</v>
      </c>
      <c r="Z14" s="62">
        <f>165+165</f>
        <v>330</v>
      </c>
      <c r="AA14" s="27"/>
      <c r="AB14" s="22"/>
      <c r="AC14" s="30"/>
      <c r="AD14" s="27"/>
      <c r="AE14" s="22"/>
      <c r="AF14" s="30"/>
      <c r="AG14" s="27"/>
      <c r="AH14" s="22"/>
      <c r="AI14" s="30"/>
      <c r="AJ14" s="27"/>
      <c r="AK14" s="22"/>
      <c r="AL14" s="30"/>
      <c r="AM14" s="27"/>
      <c r="AN14" s="22"/>
      <c r="AO14" s="30"/>
      <c r="AP14" s="27"/>
      <c r="AQ14" s="22"/>
      <c r="AR14" s="30"/>
      <c r="AS14" s="27"/>
      <c r="AT14" s="22"/>
      <c r="AU14" s="30"/>
      <c r="AV14" s="34"/>
      <c r="AX14" s="63"/>
      <c r="AY14" s="34"/>
      <c r="BA14" s="63"/>
      <c r="BB14" s="34"/>
      <c r="BD14" s="63"/>
      <c r="BE14" s="34"/>
      <c r="BG14" s="63"/>
      <c r="BH14" s="34"/>
      <c r="BJ14" s="63"/>
      <c r="BK14" s="34"/>
      <c r="BM14" s="63"/>
      <c r="BN14" s="34"/>
      <c r="BP14" s="63"/>
      <c r="BQ14" s="34"/>
      <c r="BS14" s="63"/>
      <c r="BT14" s="34"/>
      <c r="BV14" s="63"/>
      <c r="BW14" s="34"/>
      <c r="BY14" s="63"/>
      <c r="BZ14" s="34"/>
    </row>
    <row r="15" spans="1:78" s="19" customFormat="1" x14ac:dyDescent="0.25">
      <c r="A15" s="19" t="s">
        <v>33</v>
      </c>
      <c r="B15" s="19" t="s">
        <v>40</v>
      </c>
      <c r="C15" s="18">
        <v>550</v>
      </c>
      <c r="D15" s="18" t="s">
        <v>18</v>
      </c>
      <c r="E15" s="21">
        <v>15.7</v>
      </c>
      <c r="F15" s="20">
        <v>0</v>
      </c>
      <c r="G15" s="20">
        <f t="shared" si="3"/>
        <v>550</v>
      </c>
      <c r="H15" s="20">
        <f t="shared" si="4"/>
        <v>550</v>
      </c>
      <c r="I15" s="55"/>
      <c r="J15" s="50"/>
      <c r="K15" s="57"/>
      <c r="L15" s="56"/>
      <c r="M15" s="50">
        <f t="shared" si="0"/>
        <v>0</v>
      </c>
      <c r="N15" s="57"/>
      <c r="O15" s="27">
        <f t="shared" si="5"/>
        <v>0</v>
      </c>
      <c r="P15" s="22">
        <f t="shared" si="6"/>
        <v>0</v>
      </c>
      <c r="Q15" s="30">
        <v>0</v>
      </c>
      <c r="R15" s="27"/>
      <c r="S15" s="22"/>
      <c r="T15" s="30"/>
      <c r="U15" s="27"/>
      <c r="V15" s="22"/>
      <c r="W15" s="30"/>
      <c r="X15" s="60">
        <f t="shared" si="7"/>
        <v>215.875</v>
      </c>
      <c r="Y15" s="44">
        <f t="shared" si="1"/>
        <v>8635</v>
      </c>
      <c r="Z15" s="62">
        <f>275+275</f>
        <v>550</v>
      </c>
      <c r="AA15" s="27"/>
      <c r="AB15" s="22"/>
      <c r="AC15" s="30"/>
      <c r="AD15" s="27"/>
      <c r="AE15" s="22"/>
      <c r="AF15" s="30"/>
      <c r="AG15" s="27"/>
      <c r="AH15" s="22"/>
      <c r="AI15" s="30"/>
      <c r="AJ15" s="27"/>
      <c r="AK15" s="22"/>
      <c r="AL15" s="30"/>
      <c r="AM15" s="27"/>
      <c r="AN15" s="22"/>
      <c r="AO15" s="30"/>
      <c r="AP15" s="27"/>
      <c r="AQ15" s="22"/>
      <c r="AR15" s="30"/>
      <c r="AS15" s="27"/>
      <c r="AT15" s="22"/>
      <c r="AU15" s="30"/>
      <c r="AV15" s="34"/>
      <c r="AX15" s="63"/>
      <c r="AY15" s="34"/>
      <c r="BA15" s="63"/>
      <c r="BB15" s="34"/>
      <c r="BD15" s="63"/>
      <c r="BE15" s="34"/>
      <c r="BG15" s="63"/>
      <c r="BH15" s="34"/>
      <c r="BJ15" s="63"/>
      <c r="BK15" s="34"/>
      <c r="BM15" s="63"/>
      <c r="BN15" s="34"/>
      <c r="BP15" s="63"/>
      <c r="BQ15" s="34"/>
      <c r="BS15" s="63"/>
      <c r="BT15" s="34"/>
      <c r="BV15" s="63"/>
      <c r="BW15" s="34"/>
      <c r="BY15" s="63"/>
      <c r="BZ15" s="34"/>
    </row>
    <row r="16" spans="1:78" s="19" customFormat="1" x14ac:dyDescent="0.25">
      <c r="A16" s="19" t="s">
        <v>33</v>
      </c>
      <c r="B16" s="19" t="s">
        <v>41</v>
      </c>
      <c r="C16" s="18">
        <v>100</v>
      </c>
      <c r="D16" s="18" t="s">
        <v>18</v>
      </c>
      <c r="E16" s="21">
        <v>15.7</v>
      </c>
      <c r="F16" s="20">
        <v>0</v>
      </c>
      <c r="G16" s="20">
        <f t="shared" si="3"/>
        <v>100</v>
      </c>
      <c r="H16" s="20">
        <f t="shared" si="4"/>
        <v>100</v>
      </c>
      <c r="I16" s="55"/>
      <c r="J16" s="50"/>
      <c r="K16" s="57"/>
      <c r="L16" s="56"/>
      <c r="M16" s="50">
        <f t="shared" si="0"/>
        <v>0</v>
      </c>
      <c r="N16" s="57"/>
      <c r="O16" s="27">
        <f t="shared" si="5"/>
        <v>0</v>
      </c>
      <c r="P16" s="22">
        <f t="shared" si="6"/>
        <v>0</v>
      </c>
      <c r="Q16" s="30">
        <v>0</v>
      </c>
      <c r="R16" s="27"/>
      <c r="S16" s="22"/>
      <c r="T16" s="30"/>
      <c r="U16" s="27"/>
      <c r="V16" s="22"/>
      <c r="W16" s="30"/>
      <c r="X16" s="60">
        <f t="shared" si="7"/>
        <v>39.25</v>
      </c>
      <c r="Y16" s="44">
        <f t="shared" si="1"/>
        <v>1570</v>
      </c>
      <c r="Z16" s="62">
        <f>50+50</f>
        <v>100</v>
      </c>
      <c r="AA16" s="27"/>
      <c r="AB16" s="22"/>
      <c r="AC16" s="30"/>
      <c r="AD16" s="27"/>
      <c r="AE16" s="22"/>
      <c r="AF16" s="30"/>
      <c r="AG16" s="27"/>
      <c r="AH16" s="22"/>
      <c r="AI16" s="30"/>
      <c r="AJ16" s="27"/>
      <c r="AK16" s="22"/>
      <c r="AL16" s="30"/>
      <c r="AM16" s="27"/>
      <c r="AN16" s="22"/>
      <c r="AO16" s="30"/>
      <c r="AP16" s="27"/>
      <c r="AQ16" s="22"/>
      <c r="AR16" s="30"/>
      <c r="AS16" s="27"/>
      <c r="AT16" s="22"/>
      <c r="AU16" s="30"/>
      <c r="AV16" s="34"/>
      <c r="AX16" s="63"/>
      <c r="AY16" s="34"/>
      <c r="BA16" s="63"/>
      <c r="BB16" s="34"/>
      <c r="BD16" s="63"/>
      <c r="BE16" s="34"/>
      <c r="BG16" s="63"/>
      <c r="BH16" s="34"/>
      <c r="BJ16" s="63"/>
      <c r="BK16" s="34"/>
      <c r="BM16" s="63"/>
      <c r="BN16" s="34"/>
      <c r="BP16" s="63"/>
      <c r="BQ16" s="34"/>
      <c r="BS16" s="63"/>
      <c r="BT16" s="34"/>
      <c r="BV16" s="63"/>
      <c r="BW16" s="34"/>
      <c r="BY16" s="63"/>
      <c r="BZ16" s="34"/>
    </row>
    <row r="17" spans="1:78" s="19" customFormat="1" x14ac:dyDescent="0.25">
      <c r="A17" s="19" t="s">
        <v>33</v>
      </c>
      <c r="B17" s="19" t="s">
        <v>61</v>
      </c>
      <c r="C17" s="18">
        <v>150</v>
      </c>
      <c r="D17" s="18" t="s">
        <v>18</v>
      </c>
      <c r="E17" s="21">
        <v>15.7</v>
      </c>
      <c r="F17" s="20">
        <v>0</v>
      </c>
      <c r="G17" s="20">
        <f t="shared" si="3"/>
        <v>150</v>
      </c>
      <c r="H17" s="20">
        <f t="shared" si="4"/>
        <v>150</v>
      </c>
      <c r="I17" s="55"/>
      <c r="J17" s="50"/>
      <c r="K17" s="57"/>
      <c r="L17" s="56"/>
      <c r="M17" s="50">
        <f t="shared" si="0"/>
        <v>0</v>
      </c>
      <c r="N17" s="57"/>
      <c r="O17" s="27">
        <f t="shared" si="5"/>
        <v>0</v>
      </c>
      <c r="P17" s="22">
        <f t="shared" si="6"/>
        <v>0</v>
      </c>
      <c r="Q17" s="30">
        <v>0</v>
      </c>
      <c r="R17" s="27"/>
      <c r="S17" s="22"/>
      <c r="T17" s="30"/>
      <c r="U17" s="27"/>
      <c r="V17" s="22"/>
      <c r="W17" s="30"/>
      <c r="X17" s="60">
        <f t="shared" si="7"/>
        <v>58.875</v>
      </c>
      <c r="Y17" s="44">
        <f t="shared" si="1"/>
        <v>2355</v>
      </c>
      <c r="Z17" s="62">
        <f>75+75</f>
        <v>150</v>
      </c>
      <c r="AA17" s="27"/>
      <c r="AB17" s="22"/>
      <c r="AC17" s="30"/>
      <c r="AD17" s="27"/>
      <c r="AE17" s="22"/>
      <c r="AF17" s="30"/>
      <c r="AG17" s="27"/>
      <c r="AH17" s="22"/>
      <c r="AI17" s="30"/>
      <c r="AJ17" s="27"/>
      <c r="AK17" s="22"/>
      <c r="AL17" s="30"/>
      <c r="AM17" s="27"/>
      <c r="AN17" s="22"/>
      <c r="AO17" s="30"/>
      <c r="AP17" s="27"/>
      <c r="AQ17" s="22"/>
      <c r="AR17" s="30"/>
      <c r="AS17" s="27"/>
      <c r="AT17" s="22"/>
      <c r="AU17" s="30"/>
      <c r="AV17" s="34"/>
      <c r="AX17" s="63"/>
      <c r="AY17" s="34"/>
      <c r="BA17" s="63"/>
      <c r="BB17" s="34"/>
      <c r="BD17" s="63"/>
      <c r="BE17" s="34"/>
      <c r="BG17" s="63"/>
      <c r="BH17" s="34"/>
      <c r="BJ17" s="63"/>
      <c r="BK17" s="34"/>
      <c r="BM17" s="63"/>
      <c r="BN17" s="34"/>
      <c r="BP17" s="63"/>
      <c r="BQ17" s="34"/>
      <c r="BS17" s="63"/>
      <c r="BT17" s="34"/>
      <c r="BV17" s="63"/>
      <c r="BW17" s="34"/>
      <c r="BY17" s="63"/>
      <c r="BZ17" s="34"/>
    </row>
    <row r="18" spans="1:78" s="19" customFormat="1" x14ac:dyDescent="0.25">
      <c r="A18" s="19" t="s">
        <v>33</v>
      </c>
      <c r="B18" s="19" t="s">
        <v>42</v>
      </c>
      <c r="C18" s="18">
        <v>500</v>
      </c>
      <c r="D18" s="18" t="s">
        <v>18</v>
      </c>
      <c r="E18" s="21">
        <v>38</v>
      </c>
      <c r="F18" s="20">
        <f>120+109</f>
        <v>229</v>
      </c>
      <c r="G18" s="20">
        <f t="shared" si="3"/>
        <v>271</v>
      </c>
      <c r="H18" s="20">
        <f t="shared" si="4"/>
        <v>500</v>
      </c>
      <c r="I18" s="55"/>
      <c r="J18" s="50"/>
      <c r="K18" s="57"/>
      <c r="L18" s="56"/>
      <c r="M18" s="50">
        <f t="shared" si="0"/>
        <v>0</v>
      </c>
      <c r="N18" s="57"/>
      <c r="O18" s="27">
        <f t="shared" si="5"/>
        <v>0</v>
      </c>
      <c r="P18" s="22">
        <f t="shared" si="6"/>
        <v>0</v>
      </c>
      <c r="Q18" s="30">
        <v>0</v>
      </c>
      <c r="R18" s="27">
        <f t="shared" ref="R18:R19" si="8">+S18/40</f>
        <v>114</v>
      </c>
      <c r="S18" s="22">
        <f t="shared" ref="S18:S19" si="9">+T18*E18</f>
        <v>4560</v>
      </c>
      <c r="T18" s="30">
        <v>120</v>
      </c>
      <c r="U18" s="27">
        <f t="shared" ref="U18" si="10">+V18/40</f>
        <v>103.55</v>
      </c>
      <c r="V18" s="22">
        <f t="shared" ref="V18" si="11">+W18*E18</f>
        <v>4142</v>
      </c>
      <c r="W18" s="30">
        <v>109</v>
      </c>
      <c r="X18" s="60">
        <f t="shared" si="7"/>
        <v>257.45</v>
      </c>
      <c r="Y18" s="44">
        <f t="shared" si="1"/>
        <v>10298</v>
      </c>
      <c r="Z18" s="62">
        <v>271</v>
      </c>
      <c r="AA18" s="27"/>
      <c r="AB18" s="22"/>
      <c r="AC18" s="57"/>
      <c r="AD18" s="27"/>
      <c r="AE18" s="22"/>
      <c r="AF18" s="30"/>
      <c r="AG18" s="27"/>
      <c r="AH18" s="22"/>
      <c r="AI18" s="30"/>
      <c r="AJ18" s="27"/>
      <c r="AK18" s="22"/>
      <c r="AL18" s="30"/>
      <c r="AM18" s="27"/>
      <c r="AN18" s="22"/>
      <c r="AO18" s="30"/>
      <c r="AP18" s="27"/>
      <c r="AQ18" s="22"/>
      <c r="AR18" s="30"/>
      <c r="AS18" s="27"/>
      <c r="AT18" s="22"/>
      <c r="AU18" s="30"/>
      <c r="AV18" s="34"/>
      <c r="AX18" s="63"/>
      <c r="AY18" s="34"/>
      <c r="BA18" s="63"/>
      <c r="BB18" s="34"/>
      <c r="BD18" s="63"/>
      <c r="BE18" s="34"/>
      <c r="BG18" s="63"/>
      <c r="BH18" s="34"/>
      <c r="BJ18" s="63"/>
      <c r="BK18" s="34"/>
      <c r="BM18" s="63"/>
      <c r="BN18" s="34"/>
      <c r="BP18" s="63"/>
      <c r="BQ18" s="34"/>
      <c r="BS18" s="63"/>
      <c r="BT18" s="34"/>
      <c r="BV18" s="63"/>
      <c r="BW18" s="34"/>
      <c r="BY18" s="63"/>
      <c r="BZ18" s="34"/>
    </row>
    <row r="19" spans="1:78" s="19" customFormat="1" x14ac:dyDescent="0.25">
      <c r="A19" s="19" t="s">
        <v>33</v>
      </c>
      <c r="B19" s="19" t="s">
        <v>90</v>
      </c>
      <c r="C19" s="18">
        <v>120</v>
      </c>
      <c r="D19" s="18" t="s">
        <v>18</v>
      </c>
      <c r="E19" s="21">
        <v>22</v>
      </c>
      <c r="F19" s="20">
        <v>60</v>
      </c>
      <c r="G19" s="20">
        <f t="shared" si="3"/>
        <v>60</v>
      </c>
      <c r="H19" s="20">
        <f t="shared" si="4"/>
        <v>120</v>
      </c>
      <c r="I19" s="55"/>
      <c r="J19" s="50"/>
      <c r="K19" s="57"/>
      <c r="L19" s="56"/>
      <c r="M19" s="50">
        <f t="shared" si="0"/>
        <v>0</v>
      </c>
      <c r="N19" s="57"/>
      <c r="O19" s="27">
        <f t="shared" si="5"/>
        <v>0</v>
      </c>
      <c r="P19" s="22">
        <f t="shared" si="6"/>
        <v>0</v>
      </c>
      <c r="Q19" s="30">
        <v>0</v>
      </c>
      <c r="R19" s="27">
        <f t="shared" si="8"/>
        <v>33</v>
      </c>
      <c r="S19" s="22">
        <f t="shared" si="9"/>
        <v>1320</v>
      </c>
      <c r="T19" s="30">
        <v>60</v>
      </c>
      <c r="U19" s="27"/>
      <c r="V19" s="22"/>
      <c r="W19" s="30"/>
      <c r="X19" s="60">
        <f t="shared" si="7"/>
        <v>33</v>
      </c>
      <c r="Y19" s="44">
        <f t="shared" si="1"/>
        <v>1320</v>
      </c>
      <c r="Z19" s="62">
        <v>60</v>
      </c>
      <c r="AA19" s="27"/>
      <c r="AB19" s="22"/>
      <c r="AC19" s="57"/>
      <c r="AD19" s="27"/>
      <c r="AE19" s="22"/>
      <c r="AF19" s="30"/>
      <c r="AG19" s="27"/>
      <c r="AH19" s="22"/>
      <c r="AI19" s="30"/>
      <c r="AJ19" s="27"/>
      <c r="AK19" s="22"/>
      <c r="AL19" s="30"/>
      <c r="AM19" s="27"/>
      <c r="AN19" s="22"/>
      <c r="AO19" s="30"/>
      <c r="AP19" s="27"/>
      <c r="AQ19" s="22"/>
      <c r="AR19" s="30"/>
      <c r="AS19" s="27"/>
      <c r="AT19" s="22"/>
      <c r="AU19" s="30"/>
      <c r="AV19" s="34"/>
      <c r="AX19" s="63"/>
      <c r="AY19" s="34"/>
      <c r="BA19" s="63"/>
      <c r="BB19" s="34"/>
      <c r="BD19" s="63"/>
      <c r="BE19" s="34"/>
      <c r="BG19" s="63"/>
      <c r="BH19" s="34"/>
      <c r="BJ19" s="63"/>
      <c r="BK19" s="34"/>
      <c r="BM19" s="63"/>
      <c r="BN19" s="34"/>
      <c r="BP19" s="63"/>
      <c r="BQ19" s="34"/>
      <c r="BS19" s="63"/>
      <c r="BT19" s="34"/>
      <c r="BV19" s="63"/>
      <c r="BW19" s="34"/>
      <c r="BY19" s="63"/>
      <c r="BZ19" s="34"/>
    </row>
    <row r="20" spans="1:78" s="19" customFormat="1" x14ac:dyDescent="0.25">
      <c r="A20" s="19" t="s">
        <v>33</v>
      </c>
      <c r="B20" s="19" t="s">
        <v>91</v>
      </c>
      <c r="C20" s="18">
        <v>130</v>
      </c>
      <c r="D20" s="18" t="s">
        <v>18</v>
      </c>
      <c r="E20" s="21">
        <v>22</v>
      </c>
      <c r="F20" s="20">
        <v>0</v>
      </c>
      <c r="G20" s="20">
        <f t="shared" ref="G20" si="12">+C20-F20</f>
        <v>130</v>
      </c>
      <c r="H20" s="20">
        <f t="shared" si="4"/>
        <v>130</v>
      </c>
      <c r="I20" s="55"/>
      <c r="J20" s="50"/>
      <c r="K20" s="57"/>
      <c r="L20" s="56"/>
      <c r="M20" s="50">
        <f t="shared" si="0"/>
        <v>0</v>
      </c>
      <c r="N20" s="57"/>
      <c r="O20" s="27">
        <f t="shared" ref="O20" si="13">+P20/40</f>
        <v>0</v>
      </c>
      <c r="P20" s="22">
        <f t="shared" si="6"/>
        <v>0</v>
      </c>
      <c r="Q20" s="30">
        <v>0</v>
      </c>
      <c r="R20" s="27"/>
      <c r="S20" s="22"/>
      <c r="T20" s="30"/>
      <c r="U20" s="27"/>
      <c r="V20" s="22"/>
      <c r="W20" s="30"/>
      <c r="X20" s="60">
        <f t="shared" si="7"/>
        <v>71.5</v>
      </c>
      <c r="Y20" s="44">
        <f t="shared" si="1"/>
        <v>2860</v>
      </c>
      <c r="Z20" s="62">
        <f>65+65</f>
        <v>130</v>
      </c>
      <c r="AA20" s="27"/>
      <c r="AB20" s="22"/>
      <c r="AC20" s="57"/>
      <c r="AD20" s="27"/>
      <c r="AE20" s="22"/>
      <c r="AF20" s="30"/>
      <c r="AG20" s="27"/>
      <c r="AH20" s="22"/>
      <c r="AI20" s="30"/>
      <c r="AJ20" s="27"/>
      <c r="AK20" s="22"/>
      <c r="AL20" s="30"/>
      <c r="AM20" s="27"/>
      <c r="AN20" s="22"/>
      <c r="AO20" s="30"/>
      <c r="AP20" s="27"/>
      <c r="AQ20" s="22"/>
      <c r="AR20" s="30"/>
      <c r="AS20" s="27"/>
      <c r="AT20" s="22"/>
      <c r="AU20" s="30"/>
      <c r="AV20" s="34"/>
      <c r="AX20" s="63"/>
      <c r="AY20" s="34"/>
      <c r="BA20" s="63"/>
      <c r="BB20" s="34"/>
      <c r="BD20" s="63"/>
      <c r="BE20" s="34"/>
      <c r="BG20" s="63"/>
      <c r="BH20" s="34"/>
      <c r="BJ20" s="63"/>
      <c r="BK20" s="34"/>
      <c r="BM20" s="63"/>
      <c r="BN20" s="34"/>
      <c r="BP20" s="63"/>
      <c r="BQ20" s="34"/>
      <c r="BS20" s="63"/>
      <c r="BT20" s="34"/>
      <c r="BV20" s="63"/>
      <c r="BW20" s="34"/>
      <c r="BY20" s="63"/>
      <c r="BZ20" s="34"/>
    </row>
    <row r="21" spans="1:78" s="19" customFormat="1" x14ac:dyDescent="0.25">
      <c r="A21" s="81" t="s">
        <v>79</v>
      </c>
      <c r="B21" s="81" t="s">
        <v>80</v>
      </c>
      <c r="C21" s="18">
        <f>40+40+40+280+8+8+8+56</f>
        <v>480</v>
      </c>
      <c r="D21" s="18" t="s">
        <v>18</v>
      </c>
      <c r="E21" s="21" t="s">
        <v>88</v>
      </c>
      <c r="F21" s="20"/>
      <c r="G21" s="20"/>
      <c r="H21" s="20"/>
      <c r="I21" s="55"/>
      <c r="J21" s="50"/>
      <c r="K21" s="57"/>
      <c r="L21" s="56"/>
      <c r="M21" s="50"/>
      <c r="N21" s="57"/>
      <c r="O21" s="27"/>
      <c r="P21" s="22"/>
      <c r="Q21" s="30"/>
      <c r="R21" s="27"/>
      <c r="S21" s="22"/>
      <c r="T21" s="30"/>
      <c r="U21" s="27"/>
      <c r="V21" s="22"/>
      <c r="W21" s="30"/>
      <c r="X21" s="58"/>
      <c r="Y21" s="38"/>
      <c r="Z21" s="59"/>
      <c r="AA21" s="27"/>
      <c r="AB21" s="22"/>
      <c r="AC21" s="57"/>
      <c r="AD21" s="27"/>
      <c r="AE21" s="22"/>
      <c r="AF21" s="30"/>
      <c r="AG21" s="27"/>
      <c r="AH21" s="22"/>
      <c r="AI21" s="30"/>
      <c r="AJ21" s="27"/>
      <c r="AK21" s="22"/>
      <c r="AL21" s="30"/>
      <c r="AM21" s="27"/>
      <c r="AN21" s="22"/>
      <c r="AO21" s="30"/>
      <c r="AP21" s="27"/>
      <c r="AQ21" s="22"/>
      <c r="AR21" s="30"/>
      <c r="AS21" s="27"/>
      <c r="AT21" s="22"/>
      <c r="AU21" s="30"/>
      <c r="AV21" s="34"/>
      <c r="AX21" s="63"/>
      <c r="AY21" s="34"/>
      <c r="BA21" s="63"/>
      <c r="BB21" s="34"/>
      <c r="BD21" s="63"/>
      <c r="BE21" s="34"/>
      <c r="BG21" s="63"/>
      <c r="BH21" s="34"/>
      <c r="BJ21" s="63"/>
      <c r="BK21" s="34"/>
      <c r="BM21" s="63"/>
      <c r="BN21" s="34"/>
      <c r="BP21" s="63"/>
      <c r="BQ21" s="34"/>
      <c r="BS21" s="63"/>
      <c r="BT21" s="34"/>
      <c r="BV21" s="63"/>
      <c r="BW21" s="34"/>
      <c r="BY21" s="63"/>
      <c r="BZ21" s="34"/>
    </row>
    <row r="22" spans="1:78" s="19" customFormat="1" x14ac:dyDescent="0.25">
      <c r="A22" s="81" t="s">
        <v>79</v>
      </c>
      <c r="B22" s="81" t="s">
        <v>81</v>
      </c>
      <c r="C22" s="18">
        <f>20+20+20+140+5+5+5+35</f>
        <v>250</v>
      </c>
      <c r="D22" s="18" t="s">
        <v>18</v>
      </c>
      <c r="E22" s="21" t="s">
        <v>88</v>
      </c>
      <c r="F22" s="20"/>
      <c r="G22" s="20"/>
      <c r="H22" s="20"/>
      <c r="I22" s="55"/>
      <c r="J22" s="50"/>
      <c r="K22" s="57"/>
      <c r="L22" s="56"/>
      <c r="M22" s="50"/>
      <c r="N22" s="57"/>
      <c r="O22" s="27"/>
      <c r="P22" s="22"/>
      <c r="Q22" s="30"/>
      <c r="R22" s="27"/>
      <c r="S22" s="22"/>
      <c r="T22" s="30"/>
      <c r="U22" s="27"/>
      <c r="V22" s="22"/>
      <c r="W22" s="30"/>
      <c r="X22" s="58"/>
      <c r="Y22" s="38"/>
      <c r="Z22" s="59"/>
      <c r="AA22" s="27"/>
      <c r="AB22" s="22"/>
      <c r="AC22" s="57"/>
      <c r="AD22" s="27"/>
      <c r="AE22" s="22"/>
      <c r="AF22" s="30"/>
      <c r="AG22" s="27"/>
      <c r="AH22" s="22"/>
      <c r="AI22" s="30"/>
      <c r="AJ22" s="27"/>
      <c r="AK22" s="22"/>
      <c r="AL22" s="30"/>
      <c r="AM22" s="27"/>
      <c r="AN22" s="22"/>
      <c r="AO22" s="30"/>
      <c r="AP22" s="27"/>
      <c r="AQ22" s="22"/>
      <c r="AR22" s="30"/>
      <c r="AS22" s="27"/>
      <c r="AT22" s="22"/>
      <c r="AU22" s="30"/>
      <c r="AV22" s="34"/>
      <c r="AX22" s="63"/>
      <c r="AY22" s="34"/>
      <c r="BA22" s="63"/>
      <c r="BB22" s="34"/>
      <c r="BD22" s="63"/>
      <c r="BE22" s="34"/>
      <c r="BG22" s="63"/>
      <c r="BH22" s="34"/>
      <c r="BJ22" s="63"/>
      <c r="BK22" s="34"/>
      <c r="BM22" s="63"/>
      <c r="BN22" s="34"/>
      <c r="BP22" s="63"/>
      <c r="BQ22" s="34"/>
      <c r="BS22" s="63"/>
      <c r="BT22" s="34"/>
      <c r="BV22" s="63"/>
      <c r="BW22" s="34"/>
      <c r="BY22" s="63"/>
      <c r="BZ22" s="34"/>
    </row>
    <row r="23" spans="1:78" s="19" customFormat="1" x14ac:dyDescent="0.25">
      <c r="A23" s="81" t="s">
        <v>79</v>
      </c>
      <c r="B23" s="81" t="s">
        <v>59</v>
      </c>
      <c r="C23" s="18">
        <f>18+18+18+126+5+5+5+35</f>
        <v>230</v>
      </c>
      <c r="D23" s="18" t="s">
        <v>18</v>
      </c>
      <c r="E23" s="21" t="s">
        <v>88</v>
      </c>
      <c r="F23" s="20"/>
      <c r="G23" s="20"/>
      <c r="H23" s="20"/>
      <c r="I23" s="55"/>
      <c r="J23" s="50"/>
      <c r="K23" s="57"/>
      <c r="L23" s="56"/>
      <c r="M23" s="50"/>
      <c r="N23" s="57"/>
      <c r="O23" s="27"/>
      <c r="P23" s="22"/>
      <c r="Q23" s="30"/>
      <c r="R23" s="27"/>
      <c r="S23" s="22"/>
      <c r="T23" s="30"/>
      <c r="U23" s="27"/>
      <c r="V23" s="22"/>
      <c r="W23" s="30"/>
      <c r="X23" s="58"/>
      <c r="Y23" s="38"/>
      <c r="Z23" s="59"/>
      <c r="AA23" s="27"/>
      <c r="AB23" s="22"/>
      <c r="AC23" s="57"/>
      <c r="AD23" s="27"/>
      <c r="AE23" s="22"/>
      <c r="AF23" s="30"/>
      <c r="AG23" s="27"/>
      <c r="AH23" s="22"/>
      <c r="AI23" s="30"/>
      <c r="AJ23" s="27"/>
      <c r="AK23" s="22"/>
      <c r="AL23" s="30"/>
      <c r="AM23" s="27"/>
      <c r="AN23" s="22"/>
      <c r="AO23" s="30"/>
      <c r="AP23" s="27"/>
      <c r="AQ23" s="22"/>
      <c r="AR23" s="30"/>
      <c r="AS23" s="27"/>
      <c r="AT23" s="22"/>
      <c r="AU23" s="30"/>
      <c r="AV23" s="34"/>
      <c r="AX23" s="63"/>
      <c r="AY23" s="34"/>
      <c r="BA23" s="63"/>
      <c r="BB23" s="34"/>
      <c r="BD23" s="63"/>
      <c r="BE23" s="34"/>
      <c r="BG23" s="63"/>
      <c r="BH23" s="34"/>
      <c r="BJ23" s="63"/>
      <c r="BK23" s="34"/>
      <c r="BM23" s="63"/>
      <c r="BN23" s="34"/>
      <c r="BP23" s="63"/>
      <c r="BQ23" s="34"/>
      <c r="BS23" s="63"/>
      <c r="BT23" s="34"/>
      <c r="BV23" s="63"/>
      <c r="BW23" s="34"/>
      <c r="BY23" s="63"/>
      <c r="BZ23" s="34"/>
    </row>
    <row r="24" spans="1:78" s="19" customFormat="1" x14ac:dyDescent="0.25">
      <c r="A24" s="81" t="s">
        <v>79</v>
      </c>
      <c r="B24" s="81" t="s">
        <v>82</v>
      </c>
      <c r="C24" s="18">
        <f>10+10+10+70</f>
        <v>100</v>
      </c>
      <c r="D24" s="18" t="s">
        <v>18</v>
      </c>
      <c r="E24" s="21" t="s">
        <v>88</v>
      </c>
      <c r="F24" s="20"/>
      <c r="G24" s="20"/>
      <c r="H24" s="20"/>
      <c r="I24" s="55"/>
      <c r="J24" s="50"/>
      <c r="K24" s="57"/>
      <c r="L24" s="56"/>
      <c r="M24" s="50"/>
      <c r="N24" s="57"/>
      <c r="O24" s="27"/>
      <c r="P24" s="22"/>
      <c r="Q24" s="30"/>
      <c r="R24" s="27"/>
      <c r="S24" s="22"/>
      <c r="T24" s="30"/>
      <c r="U24" s="27"/>
      <c r="V24" s="22"/>
      <c r="W24" s="30"/>
      <c r="X24" s="58"/>
      <c r="Y24" s="38"/>
      <c r="Z24" s="59"/>
      <c r="AA24" s="27"/>
      <c r="AB24" s="22"/>
      <c r="AC24" s="57"/>
      <c r="AD24" s="27"/>
      <c r="AE24" s="22"/>
      <c r="AF24" s="30"/>
      <c r="AG24" s="27"/>
      <c r="AH24" s="22"/>
      <c r="AI24" s="30"/>
      <c r="AJ24" s="27"/>
      <c r="AK24" s="22"/>
      <c r="AL24" s="30"/>
      <c r="AM24" s="27"/>
      <c r="AN24" s="22"/>
      <c r="AO24" s="30"/>
      <c r="AP24" s="27"/>
      <c r="AQ24" s="22"/>
      <c r="AR24" s="30"/>
      <c r="AS24" s="27"/>
      <c r="AT24" s="22"/>
      <c r="AU24" s="30"/>
      <c r="AV24" s="34"/>
      <c r="AX24" s="63"/>
      <c r="AY24" s="34"/>
      <c r="BA24" s="63"/>
      <c r="BB24" s="34"/>
      <c r="BD24" s="63"/>
      <c r="BE24" s="34"/>
      <c r="BG24" s="63"/>
      <c r="BH24" s="34"/>
      <c r="BJ24" s="63"/>
      <c r="BK24" s="34"/>
      <c r="BM24" s="63"/>
      <c r="BN24" s="34"/>
      <c r="BP24" s="63"/>
      <c r="BQ24" s="34"/>
      <c r="BS24" s="63"/>
      <c r="BT24" s="34"/>
      <c r="BV24" s="63"/>
      <c r="BW24" s="34"/>
      <c r="BY24" s="63"/>
      <c r="BZ24" s="34"/>
    </row>
    <row r="25" spans="1:78" s="19" customFormat="1" x14ac:dyDescent="0.25">
      <c r="A25" s="81" t="s">
        <v>79</v>
      </c>
      <c r="B25" s="81" t="s">
        <v>87</v>
      </c>
      <c r="C25" s="18">
        <f>18+18+18+126</f>
        <v>180</v>
      </c>
      <c r="D25" s="18" t="s">
        <v>18</v>
      </c>
      <c r="E25" s="21" t="s">
        <v>88</v>
      </c>
      <c r="F25" s="20"/>
      <c r="G25" s="20"/>
      <c r="H25" s="20"/>
      <c r="I25" s="55"/>
      <c r="J25" s="50"/>
      <c r="K25" s="57"/>
      <c r="L25" s="56"/>
      <c r="M25" s="50"/>
      <c r="N25" s="57"/>
      <c r="O25" s="27"/>
      <c r="P25" s="22"/>
      <c r="Q25" s="30"/>
      <c r="R25" s="27"/>
      <c r="S25" s="22"/>
      <c r="T25" s="30"/>
      <c r="U25" s="27"/>
      <c r="V25" s="22"/>
      <c r="W25" s="30"/>
      <c r="X25" s="58"/>
      <c r="Y25" s="38"/>
      <c r="Z25" s="59"/>
      <c r="AA25" s="27"/>
      <c r="AB25" s="22"/>
      <c r="AC25" s="57"/>
      <c r="AD25" s="27"/>
      <c r="AE25" s="22"/>
      <c r="AF25" s="30"/>
      <c r="AG25" s="27"/>
      <c r="AH25" s="22"/>
      <c r="AI25" s="30"/>
      <c r="AJ25" s="27"/>
      <c r="AK25" s="22"/>
      <c r="AL25" s="30"/>
      <c r="AM25" s="27"/>
      <c r="AN25" s="22"/>
      <c r="AO25" s="30"/>
      <c r="AP25" s="27"/>
      <c r="AQ25" s="22"/>
      <c r="AR25" s="30"/>
      <c r="AS25" s="27"/>
      <c r="AT25" s="22"/>
      <c r="AU25" s="30"/>
      <c r="AV25" s="34"/>
      <c r="AX25" s="63"/>
      <c r="AY25" s="34"/>
      <c r="BA25" s="63"/>
      <c r="BB25" s="34"/>
      <c r="BD25" s="63"/>
      <c r="BE25" s="34"/>
      <c r="BG25" s="63"/>
      <c r="BH25" s="34"/>
      <c r="BJ25" s="63"/>
      <c r="BK25" s="34"/>
      <c r="BM25" s="63"/>
      <c r="BN25" s="34"/>
      <c r="BP25" s="63"/>
      <c r="BQ25" s="34"/>
      <c r="BS25" s="63"/>
      <c r="BT25" s="34"/>
      <c r="BV25" s="63"/>
      <c r="BW25" s="34"/>
      <c r="BY25" s="63"/>
      <c r="BZ25" s="34"/>
    </row>
    <row r="26" spans="1:78" s="19" customFormat="1" x14ac:dyDescent="0.25">
      <c r="A26" s="81" t="s">
        <v>79</v>
      </c>
      <c r="B26" s="81" t="s">
        <v>83</v>
      </c>
      <c r="C26" s="18">
        <f>35+35+35+245+20+20+20+140</f>
        <v>550</v>
      </c>
      <c r="D26" s="18" t="s">
        <v>18</v>
      </c>
      <c r="E26" s="21" t="s">
        <v>88</v>
      </c>
      <c r="F26" s="20"/>
      <c r="G26" s="20"/>
      <c r="H26" s="20"/>
      <c r="I26" s="55"/>
      <c r="J26" s="50"/>
      <c r="K26" s="57"/>
      <c r="L26" s="56"/>
      <c r="M26" s="50"/>
      <c r="N26" s="57"/>
      <c r="O26" s="27"/>
      <c r="P26" s="22"/>
      <c r="Q26" s="30"/>
      <c r="R26" s="27"/>
      <c r="S26" s="22"/>
      <c r="T26" s="30"/>
      <c r="U26" s="27"/>
      <c r="V26" s="22"/>
      <c r="W26" s="30"/>
      <c r="X26" s="58"/>
      <c r="Y26" s="38"/>
      <c r="Z26" s="59"/>
      <c r="AA26" s="27"/>
      <c r="AB26" s="22"/>
      <c r="AC26" s="57"/>
      <c r="AD26" s="27"/>
      <c r="AE26" s="22"/>
      <c r="AF26" s="30"/>
      <c r="AG26" s="27"/>
      <c r="AH26" s="22"/>
      <c r="AI26" s="30"/>
      <c r="AJ26" s="27"/>
      <c r="AK26" s="22"/>
      <c r="AL26" s="30"/>
      <c r="AM26" s="27"/>
      <c r="AN26" s="22"/>
      <c r="AO26" s="30"/>
      <c r="AP26" s="27"/>
      <c r="AQ26" s="22"/>
      <c r="AR26" s="30"/>
      <c r="AS26" s="27"/>
      <c r="AT26" s="22"/>
      <c r="AU26" s="30"/>
      <c r="AV26" s="34"/>
      <c r="AX26" s="63"/>
      <c r="AY26" s="34"/>
      <c r="BA26" s="63"/>
      <c r="BB26" s="34"/>
      <c r="BD26" s="63"/>
      <c r="BE26" s="34"/>
      <c r="BG26" s="63"/>
      <c r="BH26" s="34"/>
      <c r="BJ26" s="63"/>
      <c r="BK26" s="34"/>
      <c r="BM26" s="63"/>
      <c r="BN26" s="34"/>
      <c r="BP26" s="63"/>
      <c r="BQ26" s="34"/>
      <c r="BS26" s="63"/>
      <c r="BT26" s="34"/>
      <c r="BV26" s="63"/>
      <c r="BW26" s="34"/>
      <c r="BY26" s="63"/>
      <c r="BZ26" s="34"/>
    </row>
    <row r="27" spans="1:78" s="19" customFormat="1" x14ac:dyDescent="0.25">
      <c r="A27" s="81" t="s">
        <v>79</v>
      </c>
      <c r="B27" s="81" t="s">
        <v>84</v>
      </c>
      <c r="C27" s="18">
        <f>12+12+12+84</f>
        <v>120</v>
      </c>
      <c r="D27" s="18" t="s">
        <v>18</v>
      </c>
      <c r="E27" s="21" t="s">
        <v>88</v>
      </c>
      <c r="F27" s="20"/>
      <c r="G27" s="20"/>
      <c r="H27" s="20"/>
      <c r="I27" s="55"/>
      <c r="J27" s="50"/>
      <c r="K27" s="57"/>
      <c r="L27" s="56"/>
      <c r="M27" s="50"/>
      <c r="N27" s="57"/>
      <c r="O27" s="27"/>
      <c r="P27" s="22"/>
      <c r="Q27" s="30"/>
      <c r="R27" s="27"/>
      <c r="S27" s="22"/>
      <c r="T27" s="30"/>
      <c r="U27" s="27"/>
      <c r="V27" s="22"/>
      <c r="W27" s="30"/>
      <c r="X27" s="58"/>
      <c r="Y27" s="38"/>
      <c r="Z27" s="59"/>
      <c r="AA27" s="27"/>
      <c r="AB27" s="22"/>
      <c r="AC27" s="57"/>
      <c r="AD27" s="27"/>
      <c r="AE27" s="22"/>
      <c r="AF27" s="30"/>
      <c r="AG27" s="27"/>
      <c r="AH27" s="22"/>
      <c r="AI27" s="30"/>
      <c r="AJ27" s="27"/>
      <c r="AK27" s="22"/>
      <c r="AL27" s="30"/>
      <c r="AM27" s="27"/>
      <c r="AN27" s="22"/>
      <c r="AO27" s="30"/>
      <c r="AP27" s="27"/>
      <c r="AQ27" s="22"/>
      <c r="AR27" s="30"/>
      <c r="AS27" s="27"/>
      <c r="AT27" s="22"/>
      <c r="AU27" s="30"/>
      <c r="AV27" s="34"/>
      <c r="AX27" s="63"/>
      <c r="AY27" s="34"/>
      <c r="BA27" s="63"/>
      <c r="BB27" s="34"/>
      <c r="BD27" s="63"/>
      <c r="BE27" s="34"/>
      <c r="BG27" s="63"/>
      <c r="BH27" s="34"/>
      <c r="BJ27" s="63"/>
      <c r="BK27" s="34"/>
      <c r="BM27" s="63"/>
      <c r="BN27" s="34"/>
      <c r="BP27" s="63"/>
      <c r="BQ27" s="34"/>
      <c r="BS27" s="63"/>
      <c r="BT27" s="34"/>
      <c r="BV27" s="63"/>
      <c r="BW27" s="34"/>
      <c r="BY27" s="63"/>
      <c r="BZ27" s="34"/>
    </row>
    <row r="28" spans="1:78" s="19" customFormat="1" x14ac:dyDescent="0.25">
      <c r="A28" s="81" t="s">
        <v>79</v>
      </c>
      <c r="B28" s="81" t="s">
        <v>86</v>
      </c>
      <c r="C28" s="18">
        <f>70+70+70+490+8+8+8+56</f>
        <v>780</v>
      </c>
      <c r="D28" s="18" t="s">
        <v>18</v>
      </c>
      <c r="E28" s="21" t="s">
        <v>88</v>
      </c>
      <c r="F28" s="20"/>
      <c r="G28" s="20"/>
      <c r="H28" s="20"/>
      <c r="I28" s="55"/>
      <c r="J28" s="50"/>
      <c r="K28" s="57"/>
      <c r="L28" s="56"/>
      <c r="M28" s="50"/>
      <c r="N28" s="57"/>
      <c r="O28" s="27"/>
      <c r="P28" s="22"/>
      <c r="Q28" s="30"/>
      <c r="R28" s="27"/>
      <c r="S28" s="22"/>
      <c r="T28" s="30"/>
      <c r="U28" s="27"/>
      <c r="V28" s="22"/>
      <c r="W28" s="30"/>
      <c r="X28" s="58"/>
      <c r="Y28" s="38"/>
      <c r="Z28" s="59"/>
      <c r="AA28" s="27"/>
      <c r="AB28" s="22"/>
      <c r="AC28" s="57"/>
      <c r="AD28" s="27"/>
      <c r="AE28" s="22"/>
      <c r="AF28" s="30"/>
      <c r="AG28" s="27"/>
      <c r="AH28" s="22"/>
      <c r="AI28" s="30"/>
      <c r="AJ28" s="27"/>
      <c r="AK28" s="22"/>
      <c r="AL28" s="30"/>
      <c r="AM28" s="27"/>
      <c r="AN28" s="22"/>
      <c r="AO28" s="30"/>
      <c r="AP28" s="27"/>
      <c r="AQ28" s="22"/>
      <c r="AR28" s="30"/>
      <c r="AS28" s="27"/>
      <c r="AT28" s="22"/>
      <c r="AU28" s="30"/>
      <c r="AV28" s="34"/>
      <c r="AX28" s="63"/>
      <c r="AY28" s="34"/>
      <c r="BA28" s="63"/>
      <c r="BB28" s="34"/>
      <c r="BD28" s="63"/>
      <c r="BE28" s="34"/>
      <c r="BG28" s="63"/>
      <c r="BH28" s="34"/>
      <c r="BJ28" s="63"/>
      <c r="BK28" s="34"/>
      <c r="BM28" s="63"/>
      <c r="BN28" s="34"/>
      <c r="BP28" s="63"/>
      <c r="BQ28" s="34"/>
      <c r="BS28" s="63"/>
      <c r="BT28" s="34"/>
      <c r="BV28" s="63"/>
      <c r="BW28" s="34"/>
      <c r="BY28" s="63"/>
      <c r="BZ28" s="34"/>
    </row>
    <row r="29" spans="1:78" s="19" customFormat="1" x14ac:dyDescent="0.25">
      <c r="A29" s="81" t="s">
        <v>79</v>
      </c>
      <c r="B29" s="81" t="s">
        <v>85</v>
      </c>
      <c r="C29" s="18">
        <f>87+87+87+609+15+15+15+105</f>
        <v>1020</v>
      </c>
      <c r="D29" s="18" t="s">
        <v>18</v>
      </c>
      <c r="E29" s="21" t="s">
        <v>88</v>
      </c>
      <c r="F29" s="20"/>
      <c r="G29" s="20"/>
      <c r="H29" s="20"/>
      <c r="I29" s="55"/>
      <c r="J29" s="50"/>
      <c r="K29" s="57"/>
      <c r="L29" s="56"/>
      <c r="M29" s="50"/>
      <c r="N29" s="57"/>
      <c r="O29" s="27"/>
      <c r="P29" s="22"/>
      <c r="Q29" s="30"/>
      <c r="R29" s="27"/>
      <c r="S29" s="22"/>
      <c r="T29" s="30"/>
      <c r="U29" s="27"/>
      <c r="V29" s="22"/>
      <c r="W29" s="30"/>
      <c r="X29" s="58"/>
      <c r="Y29" s="38"/>
      <c r="Z29" s="59"/>
      <c r="AA29" s="27"/>
      <c r="AB29" s="22"/>
      <c r="AC29" s="57"/>
      <c r="AD29" s="27"/>
      <c r="AE29" s="22"/>
      <c r="AF29" s="30"/>
      <c r="AG29" s="27"/>
      <c r="AH29" s="22"/>
      <c r="AI29" s="30"/>
      <c r="AJ29" s="27"/>
      <c r="AK29" s="22"/>
      <c r="AL29" s="30"/>
      <c r="AM29" s="27"/>
      <c r="AN29" s="22"/>
      <c r="AO29" s="30"/>
      <c r="AP29" s="27"/>
      <c r="AQ29" s="22"/>
      <c r="AR29" s="30"/>
      <c r="AS29" s="27"/>
      <c r="AT29" s="22"/>
      <c r="AU29" s="30"/>
      <c r="AV29" s="34"/>
      <c r="AX29" s="63"/>
      <c r="AY29" s="34"/>
      <c r="BA29" s="63"/>
      <c r="BB29" s="34"/>
      <c r="BD29" s="63"/>
      <c r="BE29" s="34"/>
      <c r="BG29" s="63"/>
      <c r="BH29" s="34"/>
      <c r="BJ29" s="63"/>
      <c r="BK29" s="34"/>
      <c r="BM29" s="63"/>
      <c r="BN29" s="34"/>
      <c r="BP29" s="63"/>
      <c r="BQ29" s="34"/>
      <c r="BS29" s="63"/>
      <c r="BT29" s="34"/>
      <c r="BV29" s="63"/>
      <c r="BW29" s="34"/>
      <c r="BY29" s="63"/>
      <c r="BZ29" s="34"/>
    </row>
    <row r="30" spans="1:78" s="19" customFormat="1" x14ac:dyDescent="0.25">
      <c r="A30" s="19" t="s">
        <v>49</v>
      </c>
      <c r="B30" s="19" t="s">
        <v>50</v>
      </c>
      <c r="C30" s="18">
        <f>17+17+17+114</f>
        <v>165</v>
      </c>
      <c r="D30" s="18" t="s">
        <v>18</v>
      </c>
      <c r="E30" s="21">
        <v>12</v>
      </c>
      <c r="F30" s="20">
        <v>0</v>
      </c>
      <c r="G30" s="20">
        <f t="shared" si="3"/>
        <v>165</v>
      </c>
      <c r="H30" s="20">
        <f>+K30+N30+Q30+T30+W30+Z30+AC30+AF30+AI30+AL30+AO30+AR30+AU30</f>
        <v>165</v>
      </c>
      <c r="I30" s="55"/>
      <c r="J30" s="50"/>
      <c r="K30" s="57"/>
      <c r="L30" s="56"/>
      <c r="M30" s="50">
        <f t="shared" ref="M30:M49" si="14">+N30*E30</f>
        <v>0</v>
      </c>
      <c r="N30" s="57"/>
      <c r="O30" s="27"/>
      <c r="P30" s="22"/>
      <c r="Q30" s="30"/>
      <c r="R30" s="27"/>
      <c r="S30" s="22"/>
      <c r="T30" s="30"/>
      <c r="U30" s="27"/>
      <c r="V30" s="22"/>
      <c r="W30" s="30"/>
      <c r="X30" s="58">
        <f t="shared" si="7"/>
        <v>12.3</v>
      </c>
      <c r="Y30" s="38">
        <f t="shared" ref="Y30:Y43" si="15">+Z30*E30</f>
        <v>492</v>
      </c>
      <c r="Z30" s="59">
        <v>41</v>
      </c>
      <c r="AA30" s="27">
        <f t="shared" ref="AA30:AA34" si="16">+AB30/40</f>
        <v>12.3</v>
      </c>
      <c r="AB30" s="22">
        <f t="shared" ref="AB30:AB43" si="17">+AC30*E30</f>
        <v>492</v>
      </c>
      <c r="AC30" s="30">
        <v>41</v>
      </c>
      <c r="AD30" s="27">
        <f t="shared" ref="AD30:AD43" si="18">+AE30/40</f>
        <v>12.6</v>
      </c>
      <c r="AE30" s="22">
        <f t="shared" ref="AE30:AE43" si="19">+AF30*E30</f>
        <v>504</v>
      </c>
      <c r="AF30" s="30">
        <v>42</v>
      </c>
      <c r="AG30" s="27">
        <f t="shared" ref="AG30:AG43" si="20">+AH30/40</f>
        <v>12.3</v>
      </c>
      <c r="AH30" s="22">
        <f t="shared" ref="AH30:AH43" si="21">+AI30*E30</f>
        <v>492</v>
      </c>
      <c r="AI30" s="30">
        <v>41</v>
      </c>
      <c r="AJ30" s="60"/>
      <c r="AK30" s="44"/>
      <c r="AL30" s="62"/>
      <c r="AM30" s="27"/>
      <c r="AN30" s="22"/>
      <c r="AO30" s="30"/>
      <c r="AP30" s="27"/>
      <c r="AQ30" s="22"/>
      <c r="AR30" s="30"/>
      <c r="AS30" s="27"/>
      <c r="AT30" s="22"/>
      <c r="AU30" s="30"/>
      <c r="AV30" s="34"/>
      <c r="AX30" s="63"/>
      <c r="AY30" s="34"/>
      <c r="BA30" s="63"/>
      <c r="BB30" s="34"/>
      <c r="BD30" s="63"/>
      <c r="BE30" s="34"/>
      <c r="BG30" s="63"/>
      <c r="BH30" s="34"/>
      <c r="BJ30" s="63"/>
      <c r="BK30" s="34"/>
      <c r="BM30" s="63"/>
      <c r="BN30" s="34"/>
      <c r="BP30" s="63"/>
      <c r="BQ30" s="34"/>
      <c r="BS30" s="63"/>
      <c r="BT30" s="34"/>
      <c r="BV30" s="63"/>
      <c r="BW30" s="34"/>
      <c r="BY30" s="63"/>
      <c r="BZ30" s="34"/>
    </row>
    <row r="31" spans="1:78" s="19" customFormat="1" x14ac:dyDescent="0.25">
      <c r="A31" s="19" t="s">
        <v>49</v>
      </c>
      <c r="B31" s="19" t="s">
        <v>51</v>
      </c>
      <c r="C31" s="18">
        <f>30+30+30+204+30</f>
        <v>324</v>
      </c>
      <c r="D31" s="18" t="s">
        <v>18</v>
      </c>
      <c r="E31" s="21">
        <v>12.25</v>
      </c>
      <c r="F31" s="20">
        <v>0</v>
      </c>
      <c r="G31" s="20">
        <f t="shared" si="3"/>
        <v>324</v>
      </c>
      <c r="H31" s="20">
        <f>+K31+N31+Q31+T31+W31+Z31+AC31+AF31+AI31+AL31+AO31+AR31+AU31</f>
        <v>324</v>
      </c>
      <c r="I31" s="55"/>
      <c r="J31" s="50"/>
      <c r="K31" s="57"/>
      <c r="L31" s="56"/>
      <c r="M31" s="50">
        <f t="shared" si="14"/>
        <v>0</v>
      </c>
      <c r="N31" s="57"/>
      <c r="O31" s="27"/>
      <c r="P31" s="22"/>
      <c r="Q31" s="30"/>
      <c r="R31" s="27"/>
      <c r="S31" s="22"/>
      <c r="T31" s="30"/>
      <c r="U31" s="27"/>
      <c r="V31" s="22"/>
      <c r="W31" s="30"/>
      <c r="X31" s="58">
        <f t="shared" si="7"/>
        <v>24.806249999999999</v>
      </c>
      <c r="Y31" s="38">
        <f t="shared" si="15"/>
        <v>992.25</v>
      </c>
      <c r="Z31" s="59">
        <v>81</v>
      </c>
      <c r="AA31" s="27">
        <f t="shared" si="16"/>
        <v>24.806249999999999</v>
      </c>
      <c r="AB31" s="22">
        <f t="shared" si="17"/>
        <v>992.25</v>
      </c>
      <c r="AC31" s="30">
        <v>81</v>
      </c>
      <c r="AD31" s="27">
        <f t="shared" si="18"/>
        <v>24.806249999999999</v>
      </c>
      <c r="AE31" s="22">
        <f t="shared" si="19"/>
        <v>992.25</v>
      </c>
      <c r="AF31" s="30">
        <v>81</v>
      </c>
      <c r="AG31" s="27">
        <f t="shared" si="20"/>
        <v>24.806249999999999</v>
      </c>
      <c r="AH31" s="22">
        <f t="shared" si="21"/>
        <v>992.25</v>
      </c>
      <c r="AI31" s="30">
        <v>81</v>
      </c>
      <c r="AJ31" s="60"/>
      <c r="AK31" s="44"/>
      <c r="AL31" s="62"/>
      <c r="AM31" s="27"/>
      <c r="AN31" s="22"/>
      <c r="AO31" s="30"/>
      <c r="AP31" s="27"/>
      <c r="AQ31" s="22"/>
      <c r="AR31" s="30"/>
      <c r="AS31" s="27"/>
      <c r="AT31" s="22"/>
      <c r="AU31" s="30"/>
      <c r="AV31" s="34"/>
      <c r="AX31" s="63"/>
      <c r="AY31" s="34"/>
      <c r="BA31" s="63"/>
      <c r="BB31" s="34"/>
      <c r="BD31" s="63"/>
      <c r="BE31" s="34"/>
      <c r="BG31" s="63"/>
      <c r="BH31" s="34"/>
      <c r="BJ31" s="63"/>
      <c r="BK31" s="34"/>
      <c r="BM31" s="63"/>
      <c r="BN31" s="34"/>
      <c r="BP31" s="63"/>
      <c r="BQ31" s="34"/>
      <c r="BS31" s="63"/>
      <c r="BT31" s="34"/>
      <c r="BV31" s="63"/>
      <c r="BW31" s="34"/>
      <c r="BY31" s="63"/>
      <c r="BZ31" s="34"/>
    </row>
    <row r="32" spans="1:78" s="19" customFormat="1" x14ac:dyDescent="0.25">
      <c r="A32" s="19" t="s">
        <v>49</v>
      </c>
      <c r="B32" s="19" t="s">
        <v>52</v>
      </c>
      <c r="C32" s="18">
        <f>15+15+15+105</f>
        <v>150</v>
      </c>
      <c r="D32" s="18" t="s">
        <v>18</v>
      </c>
      <c r="E32" s="21">
        <v>6</v>
      </c>
      <c r="F32" s="20">
        <v>0</v>
      </c>
      <c r="G32" s="20">
        <f t="shared" si="3"/>
        <v>150</v>
      </c>
      <c r="H32" s="20">
        <f t="shared" si="4"/>
        <v>150</v>
      </c>
      <c r="I32" s="55"/>
      <c r="J32" s="50"/>
      <c r="K32" s="57"/>
      <c r="L32" s="56"/>
      <c r="M32" s="50">
        <f t="shared" si="14"/>
        <v>0</v>
      </c>
      <c r="N32" s="57"/>
      <c r="O32" s="27"/>
      <c r="P32" s="22"/>
      <c r="Q32" s="30"/>
      <c r="R32" s="27"/>
      <c r="S32" s="22"/>
      <c r="T32" s="30"/>
      <c r="U32" s="27"/>
      <c r="V32" s="22"/>
      <c r="W32" s="30"/>
      <c r="X32" s="58">
        <f t="shared" si="7"/>
        <v>5.55</v>
      </c>
      <c r="Y32" s="38">
        <f t="shared" si="15"/>
        <v>222</v>
      </c>
      <c r="Z32" s="59">
        <v>37</v>
      </c>
      <c r="AA32" s="27">
        <f t="shared" si="16"/>
        <v>5.7</v>
      </c>
      <c r="AB32" s="22">
        <f t="shared" si="17"/>
        <v>228</v>
      </c>
      <c r="AC32" s="30">
        <v>38</v>
      </c>
      <c r="AD32" s="27">
        <f t="shared" si="18"/>
        <v>5.7</v>
      </c>
      <c r="AE32" s="22">
        <f t="shared" si="19"/>
        <v>228</v>
      </c>
      <c r="AF32" s="30">
        <v>38</v>
      </c>
      <c r="AG32" s="27">
        <f t="shared" si="20"/>
        <v>5.55</v>
      </c>
      <c r="AH32" s="22">
        <f t="shared" si="21"/>
        <v>222</v>
      </c>
      <c r="AI32" s="30">
        <v>37</v>
      </c>
      <c r="AJ32" s="60"/>
      <c r="AK32" s="44"/>
      <c r="AL32" s="62"/>
      <c r="AM32" s="27"/>
      <c r="AN32" s="22"/>
      <c r="AO32" s="30"/>
      <c r="AP32" s="27"/>
      <c r="AQ32" s="22"/>
      <c r="AR32" s="30"/>
      <c r="AS32" s="27"/>
      <c r="AT32" s="22"/>
      <c r="AU32" s="30"/>
      <c r="AV32" s="34"/>
      <c r="AX32" s="63"/>
      <c r="AY32" s="34"/>
      <c r="BA32" s="63"/>
      <c r="BB32" s="34"/>
      <c r="BD32" s="63"/>
      <c r="BE32" s="34"/>
      <c r="BG32" s="63"/>
      <c r="BH32" s="34"/>
      <c r="BJ32" s="63"/>
      <c r="BK32" s="34"/>
      <c r="BM32" s="63"/>
      <c r="BN32" s="34"/>
      <c r="BP32" s="63"/>
      <c r="BQ32" s="34"/>
      <c r="BS32" s="63"/>
      <c r="BT32" s="34"/>
      <c r="BV32" s="63"/>
      <c r="BW32" s="34"/>
      <c r="BY32" s="63"/>
      <c r="BZ32" s="34"/>
    </row>
    <row r="33" spans="1:78" s="19" customFormat="1" x14ac:dyDescent="0.25">
      <c r="A33" s="19" t="s">
        <v>49</v>
      </c>
      <c r="B33" s="19" t="s">
        <v>53</v>
      </c>
      <c r="C33" s="18">
        <f>15+15+15+102+29</f>
        <v>176</v>
      </c>
      <c r="D33" s="18" t="s">
        <v>18</v>
      </c>
      <c r="E33" s="21">
        <v>6</v>
      </c>
      <c r="F33" s="20">
        <v>0</v>
      </c>
      <c r="G33" s="20">
        <f t="shared" si="3"/>
        <v>176</v>
      </c>
      <c r="H33" s="20">
        <f t="shared" si="4"/>
        <v>176</v>
      </c>
      <c r="I33" s="55"/>
      <c r="J33" s="50"/>
      <c r="K33" s="57"/>
      <c r="L33" s="56"/>
      <c r="M33" s="50">
        <f t="shared" si="14"/>
        <v>0</v>
      </c>
      <c r="N33" s="57"/>
      <c r="O33" s="27"/>
      <c r="P33" s="22"/>
      <c r="Q33" s="30"/>
      <c r="R33" s="27"/>
      <c r="S33" s="22"/>
      <c r="T33" s="30"/>
      <c r="U33" s="27"/>
      <c r="V33" s="22"/>
      <c r="W33" s="30"/>
      <c r="X33" s="58">
        <f t="shared" si="7"/>
        <v>6.6</v>
      </c>
      <c r="Y33" s="38">
        <f t="shared" si="15"/>
        <v>264</v>
      </c>
      <c r="Z33" s="59">
        <v>44</v>
      </c>
      <c r="AA33" s="27">
        <f t="shared" si="16"/>
        <v>6.6</v>
      </c>
      <c r="AB33" s="22">
        <f t="shared" si="17"/>
        <v>264</v>
      </c>
      <c r="AC33" s="30">
        <v>44</v>
      </c>
      <c r="AD33" s="27">
        <f t="shared" si="18"/>
        <v>6.6</v>
      </c>
      <c r="AE33" s="22">
        <f t="shared" si="19"/>
        <v>264</v>
      </c>
      <c r="AF33" s="30">
        <v>44</v>
      </c>
      <c r="AG33" s="27">
        <f t="shared" si="20"/>
        <v>6.6</v>
      </c>
      <c r="AH33" s="22">
        <f t="shared" si="21"/>
        <v>264</v>
      </c>
      <c r="AI33" s="30">
        <v>44</v>
      </c>
      <c r="AJ33" s="60"/>
      <c r="AK33" s="44"/>
      <c r="AL33" s="62"/>
      <c r="AM33" s="27"/>
      <c r="AN33" s="22"/>
      <c r="AO33" s="30"/>
      <c r="AP33" s="27"/>
      <c r="AQ33" s="22"/>
      <c r="AR33" s="30"/>
      <c r="AS33" s="27"/>
      <c r="AT33" s="22"/>
      <c r="AU33" s="30"/>
      <c r="AV33" s="34"/>
      <c r="AX33" s="63"/>
      <c r="AY33" s="34"/>
      <c r="BA33" s="63"/>
      <c r="BB33" s="34"/>
      <c r="BD33" s="63"/>
      <c r="BE33" s="34"/>
      <c r="BG33" s="63"/>
      <c r="BH33" s="34"/>
      <c r="BJ33" s="63"/>
      <c r="BK33" s="34"/>
      <c r="BM33" s="63"/>
      <c r="BN33" s="34"/>
      <c r="BP33" s="63"/>
      <c r="BQ33" s="34"/>
      <c r="BS33" s="63"/>
      <c r="BT33" s="34"/>
      <c r="BV33" s="63"/>
      <c r="BW33" s="34"/>
      <c r="BY33" s="63"/>
      <c r="BZ33" s="34"/>
    </row>
    <row r="34" spans="1:78" s="19" customFormat="1" x14ac:dyDescent="0.25">
      <c r="A34" s="19" t="s">
        <v>49</v>
      </c>
      <c r="B34" s="19" t="s">
        <v>54</v>
      </c>
      <c r="C34" s="18">
        <f>44+44+44+302</f>
        <v>434</v>
      </c>
      <c r="D34" s="18" t="s">
        <v>18</v>
      </c>
      <c r="E34" s="21">
        <v>18</v>
      </c>
      <c r="F34" s="20">
        <v>0</v>
      </c>
      <c r="G34" s="20">
        <f t="shared" si="3"/>
        <v>434</v>
      </c>
      <c r="H34" s="20">
        <f t="shared" si="4"/>
        <v>434</v>
      </c>
      <c r="I34" s="55"/>
      <c r="J34" s="50"/>
      <c r="K34" s="57"/>
      <c r="L34" s="56"/>
      <c r="M34" s="50">
        <f t="shared" si="14"/>
        <v>0</v>
      </c>
      <c r="N34" s="57"/>
      <c r="O34" s="27"/>
      <c r="P34" s="22"/>
      <c r="Q34" s="30"/>
      <c r="R34" s="27"/>
      <c r="S34" s="22"/>
      <c r="T34" s="30"/>
      <c r="U34" s="27"/>
      <c r="V34" s="22"/>
      <c r="W34" s="30"/>
      <c r="X34" s="58">
        <f t="shared" si="7"/>
        <v>48.6</v>
      </c>
      <c r="Y34" s="38">
        <f t="shared" si="15"/>
        <v>1944</v>
      </c>
      <c r="Z34" s="59">
        <v>108</v>
      </c>
      <c r="AA34" s="27">
        <f t="shared" si="16"/>
        <v>49.05</v>
      </c>
      <c r="AB34" s="22">
        <f t="shared" si="17"/>
        <v>1962</v>
      </c>
      <c r="AC34" s="30">
        <v>109</v>
      </c>
      <c r="AD34" s="27">
        <f t="shared" si="18"/>
        <v>49.05</v>
      </c>
      <c r="AE34" s="22">
        <f t="shared" si="19"/>
        <v>1962</v>
      </c>
      <c r="AF34" s="30">
        <v>109</v>
      </c>
      <c r="AG34" s="27">
        <f t="shared" si="20"/>
        <v>48.6</v>
      </c>
      <c r="AH34" s="22">
        <f t="shared" si="21"/>
        <v>1944</v>
      </c>
      <c r="AI34" s="30">
        <v>108</v>
      </c>
      <c r="AJ34" s="60"/>
      <c r="AK34" s="44"/>
      <c r="AL34" s="62"/>
      <c r="AM34" s="27"/>
      <c r="AN34" s="22"/>
      <c r="AO34" s="30"/>
      <c r="AP34" s="27"/>
      <c r="AQ34" s="22"/>
      <c r="AR34" s="30"/>
      <c r="AS34" s="27"/>
      <c r="AT34" s="22"/>
      <c r="AU34" s="30"/>
      <c r="AV34" s="34"/>
      <c r="AX34" s="63"/>
      <c r="AY34" s="34"/>
      <c r="BA34" s="63"/>
      <c r="BB34" s="34"/>
      <c r="BD34" s="63"/>
      <c r="BE34" s="34"/>
      <c r="BG34" s="63"/>
      <c r="BH34" s="34"/>
      <c r="BJ34" s="63"/>
      <c r="BK34" s="34"/>
      <c r="BM34" s="63"/>
      <c r="BN34" s="34"/>
      <c r="BP34" s="63"/>
      <c r="BQ34" s="34"/>
      <c r="BS34" s="63"/>
      <c r="BT34" s="34"/>
      <c r="BV34" s="63"/>
      <c r="BW34" s="34"/>
      <c r="BY34" s="63"/>
      <c r="BZ34" s="34"/>
    </row>
    <row r="35" spans="1:78" s="19" customFormat="1" x14ac:dyDescent="0.25">
      <c r="A35" s="19" t="s">
        <v>55</v>
      </c>
      <c r="B35" s="19" t="s">
        <v>56</v>
      </c>
      <c r="C35" s="18">
        <v>58</v>
      </c>
      <c r="D35" s="18" t="s">
        <v>18</v>
      </c>
      <c r="E35" s="21">
        <v>11.5</v>
      </c>
      <c r="F35" s="20">
        <v>0</v>
      </c>
      <c r="G35" s="20">
        <f t="shared" si="3"/>
        <v>58</v>
      </c>
      <c r="H35" s="20">
        <f t="shared" si="4"/>
        <v>58</v>
      </c>
      <c r="I35" s="55"/>
      <c r="J35" s="50"/>
      <c r="K35" s="57"/>
      <c r="L35" s="56"/>
      <c r="M35" s="50">
        <f t="shared" si="14"/>
        <v>0</v>
      </c>
      <c r="N35" s="57"/>
      <c r="O35" s="27"/>
      <c r="P35" s="22"/>
      <c r="Q35" s="30"/>
      <c r="R35" s="27"/>
      <c r="S35" s="22"/>
      <c r="T35" s="30"/>
      <c r="U35" s="27"/>
      <c r="V35" s="22"/>
      <c r="W35" s="30"/>
      <c r="X35" s="58">
        <f t="shared" ref="X35:X38" si="22">+Y35/40</f>
        <v>4.0250000000000004</v>
      </c>
      <c r="Y35" s="38">
        <f t="shared" si="15"/>
        <v>161</v>
      </c>
      <c r="Z35" s="59">
        <v>14</v>
      </c>
      <c r="AA35" s="27">
        <f t="shared" ref="AA35:AA43" si="23">+AB35/40</f>
        <v>4.3125</v>
      </c>
      <c r="AB35" s="22">
        <f t="shared" si="17"/>
        <v>172.5</v>
      </c>
      <c r="AC35" s="30">
        <v>15</v>
      </c>
      <c r="AD35" s="27">
        <f t="shared" si="18"/>
        <v>4.3125</v>
      </c>
      <c r="AE35" s="22">
        <f t="shared" si="19"/>
        <v>172.5</v>
      </c>
      <c r="AF35" s="30">
        <v>15</v>
      </c>
      <c r="AG35" s="27">
        <f t="shared" si="20"/>
        <v>4.0250000000000004</v>
      </c>
      <c r="AH35" s="22">
        <f t="shared" si="21"/>
        <v>161</v>
      </c>
      <c r="AI35" s="30">
        <v>14</v>
      </c>
      <c r="AJ35" s="60"/>
      <c r="AK35" s="44"/>
      <c r="AL35" s="62"/>
      <c r="AM35" s="27"/>
      <c r="AN35" s="22"/>
      <c r="AO35" s="30"/>
      <c r="AP35" s="27"/>
      <c r="AQ35" s="22"/>
      <c r="AR35" s="30"/>
      <c r="AS35" s="27"/>
      <c r="AT35" s="22"/>
      <c r="AU35" s="30"/>
      <c r="AV35" s="34"/>
      <c r="AX35" s="63"/>
      <c r="AY35" s="34"/>
      <c r="BA35" s="63"/>
      <c r="BB35" s="34"/>
      <c r="BD35" s="63"/>
      <c r="BE35" s="34"/>
      <c r="BG35" s="63"/>
      <c r="BH35" s="34"/>
      <c r="BJ35" s="63"/>
      <c r="BK35" s="34"/>
      <c r="BM35" s="63"/>
      <c r="BN35" s="34"/>
      <c r="BP35" s="63"/>
      <c r="BQ35" s="34"/>
      <c r="BS35" s="63"/>
      <c r="BT35" s="34"/>
      <c r="BV35" s="63"/>
      <c r="BW35" s="34"/>
      <c r="BY35" s="63"/>
      <c r="BZ35" s="34"/>
    </row>
    <row r="36" spans="1:78" s="19" customFormat="1" x14ac:dyDescent="0.25">
      <c r="A36" s="19" t="s">
        <v>55</v>
      </c>
      <c r="B36" s="19" t="s">
        <v>57</v>
      </c>
      <c r="C36" s="18">
        <v>25</v>
      </c>
      <c r="D36" s="18" t="s">
        <v>18</v>
      </c>
      <c r="E36" s="21">
        <v>11.5</v>
      </c>
      <c r="F36" s="20">
        <v>0</v>
      </c>
      <c r="G36" s="20">
        <f t="shared" si="3"/>
        <v>25</v>
      </c>
      <c r="H36" s="20">
        <f t="shared" si="4"/>
        <v>25</v>
      </c>
      <c r="I36" s="55"/>
      <c r="J36" s="50"/>
      <c r="K36" s="57"/>
      <c r="L36" s="56"/>
      <c r="M36" s="50">
        <f t="shared" si="14"/>
        <v>0</v>
      </c>
      <c r="N36" s="57"/>
      <c r="O36" s="27"/>
      <c r="P36" s="22"/>
      <c r="Q36" s="30"/>
      <c r="R36" s="27"/>
      <c r="S36" s="22"/>
      <c r="T36" s="30"/>
      <c r="U36" s="27"/>
      <c r="V36" s="22"/>
      <c r="W36" s="30"/>
      <c r="X36" s="58">
        <f t="shared" si="22"/>
        <v>1.7250000000000001</v>
      </c>
      <c r="Y36" s="38">
        <f t="shared" si="15"/>
        <v>69</v>
      </c>
      <c r="Z36" s="59">
        <v>6</v>
      </c>
      <c r="AA36" s="27">
        <f t="shared" si="23"/>
        <v>1.7250000000000001</v>
      </c>
      <c r="AB36" s="22">
        <f t="shared" si="17"/>
        <v>69</v>
      </c>
      <c r="AC36" s="30">
        <v>6</v>
      </c>
      <c r="AD36" s="27">
        <f t="shared" si="18"/>
        <v>2.0125000000000002</v>
      </c>
      <c r="AE36" s="22">
        <f t="shared" si="19"/>
        <v>80.5</v>
      </c>
      <c r="AF36" s="30">
        <v>7</v>
      </c>
      <c r="AG36" s="27">
        <f t="shared" si="20"/>
        <v>1.7250000000000001</v>
      </c>
      <c r="AH36" s="22">
        <f t="shared" si="21"/>
        <v>69</v>
      </c>
      <c r="AI36" s="30">
        <v>6</v>
      </c>
      <c r="AJ36" s="60"/>
      <c r="AK36" s="44"/>
      <c r="AL36" s="62"/>
      <c r="AM36" s="27"/>
      <c r="AN36" s="22"/>
      <c r="AO36" s="30"/>
      <c r="AP36" s="27"/>
      <c r="AQ36" s="22"/>
      <c r="AR36" s="30"/>
      <c r="AS36" s="27"/>
      <c r="AT36" s="22"/>
      <c r="AU36" s="30"/>
      <c r="AV36" s="34"/>
      <c r="AX36" s="63"/>
      <c r="AY36" s="34"/>
      <c r="BA36" s="63"/>
      <c r="BB36" s="34"/>
      <c r="BD36" s="63"/>
      <c r="BE36" s="34"/>
      <c r="BG36" s="63"/>
      <c r="BH36" s="34"/>
      <c r="BJ36" s="63"/>
      <c r="BK36" s="34"/>
      <c r="BM36" s="63"/>
      <c r="BN36" s="34"/>
      <c r="BP36" s="63"/>
      <c r="BQ36" s="34"/>
      <c r="BS36" s="63"/>
      <c r="BT36" s="34"/>
      <c r="BV36" s="63"/>
      <c r="BW36" s="34"/>
      <c r="BY36" s="63"/>
      <c r="BZ36" s="34"/>
    </row>
    <row r="37" spans="1:78" s="19" customFormat="1" x14ac:dyDescent="0.25">
      <c r="A37" s="19" t="s">
        <v>55</v>
      </c>
      <c r="B37" s="19" t="s">
        <v>58</v>
      </c>
      <c r="C37" s="18">
        <v>16</v>
      </c>
      <c r="D37" s="18" t="s">
        <v>18</v>
      </c>
      <c r="E37" s="21">
        <v>5.5</v>
      </c>
      <c r="F37" s="20">
        <v>0</v>
      </c>
      <c r="G37" s="20">
        <f t="shared" si="3"/>
        <v>16</v>
      </c>
      <c r="H37" s="20">
        <f t="shared" si="4"/>
        <v>16</v>
      </c>
      <c r="I37" s="55"/>
      <c r="J37" s="50"/>
      <c r="K37" s="57"/>
      <c r="L37" s="56"/>
      <c r="M37" s="50">
        <f t="shared" si="14"/>
        <v>0</v>
      </c>
      <c r="N37" s="57"/>
      <c r="O37" s="27"/>
      <c r="P37" s="22"/>
      <c r="Q37" s="30"/>
      <c r="R37" s="27"/>
      <c r="S37" s="22"/>
      <c r="T37" s="30"/>
      <c r="U37" s="27"/>
      <c r="V37" s="22"/>
      <c r="W37" s="30"/>
      <c r="X37" s="58">
        <f t="shared" si="22"/>
        <v>0.55000000000000004</v>
      </c>
      <c r="Y37" s="38">
        <f t="shared" si="15"/>
        <v>22</v>
      </c>
      <c r="Z37" s="59">
        <v>4</v>
      </c>
      <c r="AA37" s="27">
        <f t="shared" si="23"/>
        <v>0.55000000000000004</v>
      </c>
      <c r="AB37" s="22">
        <f t="shared" si="17"/>
        <v>22</v>
      </c>
      <c r="AC37" s="30">
        <v>4</v>
      </c>
      <c r="AD37" s="27">
        <f t="shared" si="18"/>
        <v>0.55000000000000004</v>
      </c>
      <c r="AE37" s="22">
        <f t="shared" si="19"/>
        <v>22</v>
      </c>
      <c r="AF37" s="30">
        <v>4</v>
      </c>
      <c r="AG37" s="27">
        <f t="shared" si="20"/>
        <v>0.55000000000000004</v>
      </c>
      <c r="AH37" s="22">
        <f t="shared" si="21"/>
        <v>22</v>
      </c>
      <c r="AI37" s="30">
        <v>4</v>
      </c>
      <c r="AJ37" s="60"/>
      <c r="AK37" s="44"/>
      <c r="AL37" s="62"/>
      <c r="AM37" s="27"/>
      <c r="AN37" s="22"/>
      <c r="AO37" s="30"/>
      <c r="AP37" s="27"/>
      <c r="AQ37" s="22"/>
      <c r="AR37" s="30"/>
      <c r="AS37" s="27"/>
      <c r="AT37" s="22"/>
      <c r="AU37" s="30"/>
      <c r="AV37" s="34"/>
      <c r="AX37" s="63"/>
      <c r="AY37" s="34"/>
      <c r="BA37" s="63"/>
      <c r="BB37" s="34"/>
      <c r="BD37" s="63"/>
      <c r="BE37" s="34"/>
      <c r="BG37" s="63"/>
      <c r="BH37" s="34"/>
      <c r="BJ37" s="63"/>
      <c r="BK37" s="34"/>
      <c r="BM37" s="63"/>
      <c r="BN37" s="34"/>
      <c r="BP37" s="63"/>
      <c r="BQ37" s="34"/>
      <c r="BS37" s="63"/>
      <c r="BT37" s="34"/>
      <c r="BV37" s="63"/>
      <c r="BW37" s="34"/>
      <c r="BY37" s="63"/>
      <c r="BZ37" s="34"/>
    </row>
    <row r="38" spans="1:78" s="19" customFormat="1" x14ac:dyDescent="0.25">
      <c r="A38" s="19" t="s">
        <v>43</v>
      </c>
      <c r="B38" s="19" t="s">
        <v>44</v>
      </c>
      <c r="C38" s="18">
        <v>250</v>
      </c>
      <c r="D38" s="18" t="s">
        <v>18</v>
      </c>
      <c r="E38" s="21">
        <v>10</v>
      </c>
      <c r="F38" s="20">
        <v>0</v>
      </c>
      <c r="G38" s="20">
        <f t="shared" si="3"/>
        <v>250</v>
      </c>
      <c r="H38" s="20">
        <f t="shared" si="4"/>
        <v>250</v>
      </c>
      <c r="I38" s="55"/>
      <c r="J38" s="50"/>
      <c r="K38" s="57"/>
      <c r="L38" s="56"/>
      <c r="M38" s="50">
        <f t="shared" si="14"/>
        <v>0</v>
      </c>
      <c r="N38" s="57"/>
      <c r="O38" s="27"/>
      <c r="P38" s="22"/>
      <c r="Q38" s="30"/>
      <c r="R38" s="27"/>
      <c r="S38" s="22"/>
      <c r="T38" s="30"/>
      <c r="U38" s="27"/>
      <c r="V38" s="22"/>
      <c r="W38" s="30"/>
      <c r="X38" s="58">
        <f t="shared" si="22"/>
        <v>15.75</v>
      </c>
      <c r="Y38" s="38">
        <f t="shared" si="15"/>
        <v>630</v>
      </c>
      <c r="Z38" s="59">
        <v>63</v>
      </c>
      <c r="AA38" s="27">
        <f t="shared" si="23"/>
        <v>15.5</v>
      </c>
      <c r="AB38" s="22">
        <f t="shared" si="17"/>
        <v>620</v>
      </c>
      <c r="AC38" s="57">
        <v>62</v>
      </c>
      <c r="AD38" s="27">
        <f t="shared" si="18"/>
        <v>15.5</v>
      </c>
      <c r="AE38" s="22">
        <f t="shared" si="19"/>
        <v>620</v>
      </c>
      <c r="AF38" s="57">
        <v>62</v>
      </c>
      <c r="AG38" s="27">
        <f t="shared" si="20"/>
        <v>15.75</v>
      </c>
      <c r="AH38" s="22">
        <f t="shared" si="21"/>
        <v>630</v>
      </c>
      <c r="AI38" s="30">
        <v>63</v>
      </c>
      <c r="AJ38" s="60"/>
      <c r="AK38" s="44"/>
      <c r="AL38" s="62"/>
      <c r="AM38" s="27"/>
      <c r="AN38" s="22"/>
      <c r="AO38" s="30"/>
      <c r="AP38" s="27"/>
      <c r="AQ38" s="22"/>
      <c r="AR38" s="30"/>
      <c r="AS38" s="27"/>
      <c r="AT38" s="22"/>
      <c r="AU38" s="30"/>
      <c r="AV38" s="34"/>
      <c r="AX38" s="63"/>
      <c r="AY38" s="34"/>
      <c r="BA38" s="63"/>
      <c r="BB38" s="34"/>
      <c r="BD38" s="63"/>
      <c r="BE38" s="34"/>
      <c r="BG38" s="63"/>
      <c r="BH38" s="34"/>
      <c r="BJ38" s="63"/>
      <c r="BK38" s="34"/>
      <c r="BM38" s="63"/>
      <c r="BN38" s="34"/>
      <c r="BP38" s="63"/>
      <c r="BQ38" s="34"/>
      <c r="BS38" s="63"/>
      <c r="BT38" s="34"/>
      <c r="BV38" s="63"/>
      <c r="BW38" s="34"/>
      <c r="BY38" s="63"/>
      <c r="BZ38" s="34"/>
    </row>
    <row r="39" spans="1:78" s="19" customFormat="1" x14ac:dyDescent="0.25">
      <c r="A39" s="19" t="s">
        <v>43</v>
      </c>
      <c r="B39" s="19" t="s">
        <v>31</v>
      </c>
      <c r="C39" s="18">
        <v>250</v>
      </c>
      <c r="D39" s="18" t="s">
        <v>18</v>
      </c>
      <c r="E39" s="21">
        <v>9</v>
      </c>
      <c r="F39" s="20">
        <v>0</v>
      </c>
      <c r="G39" s="20">
        <f t="shared" si="3"/>
        <v>250</v>
      </c>
      <c r="H39" s="20">
        <f t="shared" si="4"/>
        <v>250</v>
      </c>
      <c r="I39" s="55"/>
      <c r="J39" s="50"/>
      <c r="K39" s="57"/>
      <c r="L39" s="56"/>
      <c r="M39" s="50">
        <f t="shared" si="14"/>
        <v>0</v>
      </c>
      <c r="N39" s="57"/>
      <c r="O39" s="27"/>
      <c r="P39" s="22"/>
      <c r="Q39" s="30"/>
      <c r="R39" s="27"/>
      <c r="S39" s="22"/>
      <c r="T39" s="30"/>
      <c r="U39" s="27"/>
      <c r="V39" s="22"/>
      <c r="W39" s="30"/>
      <c r="X39" s="58">
        <f t="shared" ref="X39:X43" si="24">+Y39/40</f>
        <v>13.5</v>
      </c>
      <c r="Y39" s="38">
        <f t="shared" si="15"/>
        <v>540</v>
      </c>
      <c r="Z39" s="59">
        <v>60</v>
      </c>
      <c r="AA39" s="27">
        <f t="shared" si="23"/>
        <v>13.5</v>
      </c>
      <c r="AB39" s="22">
        <f t="shared" si="17"/>
        <v>540</v>
      </c>
      <c r="AC39" s="30">
        <v>60</v>
      </c>
      <c r="AD39" s="27">
        <f t="shared" si="18"/>
        <v>14.625</v>
      </c>
      <c r="AE39" s="22">
        <f t="shared" si="19"/>
        <v>585</v>
      </c>
      <c r="AF39" s="57">
        <v>65</v>
      </c>
      <c r="AG39" s="27">
        <f t="shared" si="20"/>
        <v>14.625</v>
      </c>
      <c r="AH39" s="22">
        <f t="shared" si="21"/>
        <v>585</v>
      </c>
      <c r="AI39" s="30">
        <v>65</v>
      </c>
      <c r="AJ39" s="60"/>
      <c r="AK39" s="44"/>
      <c r="AL39" s="62"/>
      <c r="AM39" s="27"/>
      <c r="AN39" s="22"/>
      <c r="AO39" s="30"/>
      <c r="AP39" s="27"/>
      <c r="AQ39" s="22"/>
      <c r="AR39" s="30"/>
      <c r="AS39" s="27"/>
      <c r="AT39" s="22"/>
      <c r="AU39" s="30"/>
      <c r="AV39" s="34"/>
      <c r="AX39" s="63"/>
      <c r="AY39" s="34"/>
      <c r="BA39" s="63"/>
      <c r="BB39" s="34"/>
      <c r="BD39" s="63"/>
      <c r="BE39" s="34"/>
      <c r="BG39" s="63"/>
      <c r="BH39" s="34"/>
      <c r="BJ39" s="63"/>
      <c r="BK39" s="34"/>
      <c r="BM39" s="63"/>
      <c r="BN39" s="34"/>
      <c r="BP39" s="63"/>
      <c r="BQ39" s="34"/>
      <c r="BS39" s="63"/>
      <c r="BT39" s="34"/>
      <c r="BV39" s="63"/>
      <c r="BW39" s="34"/>
      <c r="BY39" s="63"/>
      <c r="BZ39" s="34"/>
    </row>
    <row r="40" spans="1:78" s="19" customFormat="1" x14ac:dyDescent="0.25">
      <c r="A40" s="19" t="s">
        <v>45</v>
      </c>
      <c r="B40" s="19" t="s">
        <v>46</v>
      </c>
      <c r="C40" s="18">
        <f>55+14</f>
        <v>69</v>
      </c>
      <c r="D40" s="18" t="s">
        <v>18</v>
      </c>
      <c r="E40" s="21">
        <v>10</v>
      </c>
      <c r="F40" s="20">
        <v>0</v>
      </c>
      <c r="G40" s="20">
        <f t="shared" si="3"/>
        <v>69</v>
      </c>
      <c r="H40" s="20">
        <f t="shared" si="4"/>
        <v>69</v>
      </c>
      <c r="I40" s="55"/>
      <c r="J40" s="50"/>
      <c r="K40" s="57"/>
      <c r="L40" s="56"/>
      <c r="M40" s="50">
        <f t="shared" si="14"/>
        <v>0</v>
      </c>
      <c r="N40" s="57"/>
      <c r="O40" s="27"/>
      <c r="P40" s="22"/>
      <c r="Q40" s="30"/>
      <c r="R40" s="27"/>
      <c r="S40" s="22"/>
      <c r="T40" s="30"/>
      <c r="U40" s="27"/>
      <c r="V40" s="22"/>
      <c r="W40" s="30"/>
      <c r="X40" s="58">
        <f t="shared" si="24"/>
        <v>4.25</v>
      </c>
      <c r="Y40" s="38">
        <f t="shared" si="15"/>
        <v>170</v>
      </c>
      <c r="Z40" s="59">
        <v>17</v>
      </c>
      <c r="AA40" s="27">
        <f t="shared" si="23"/>
        <v>4.25</v>
      </c>
      <c r="AB40" s="22">
        <f t="shared" si="17"/>
        <v>170</v>
      </c>
      <c r="AC40" s="30">
        <v>17</v>
      </c>
      <c r="AD40" s="27">
        <f t="shared" si="18"/>
        <v>4.25</v>
      </c>
      <c r="AE40" s="22">
        <f t="shared" si="19"/>
        <v>170</v>
      </c>
      <c r="AF40" s="57">
        <v>17</v>
      </c>
      <c r="AG40" s="27">
        <f t="shared" si="20"/>
        <v>4.5</v>
      </c>
      <c r="AH40" s="22">
        <f t="shared" si="21"/>
        <v>180</v>
      </c>
      <c r="AI40" s="30">
        <v>18</v>
      </c>
      <c r="AJ40" s="60"/>
      <c r="AK40" s="44"/>
      <c r="AL40" s="62"/>
      <c r="AM40" s="27"/>
      <c r="AN40" s="22"/>
      <c r="AO40" s="30"/>
      <c r="AP40" s="27"/>
      <c r="AQ40" s="22"/>
      <c r="AR40" s="30"/>
      <c r="AS40" s="27"/>
      <c r="AT40" s="22"/>
      <c r="AU40" s="30"/>
      <c r="AV40" s="34"/>
      <c r="AX40" s="63"/>
      <c r="AY40" s="34"/>
      <c r="BA40" s="63"/>
      <c r="BB40" s="34"/>
      <c r="BD40" s="63"/>
      <c r="BE40" s="34"/>
      <c r="BG40" s="63"/>
      <c r="BH40" s="34"/>
      <c r="BJ40" s="63"/>
      <c r="BK40" s="34"/>
      <c r="BM40" s="63"/>
      <c r="BN40" s="34"/>
      <c r="BP40" s="63"/>
      <c r="BQ40" s="34"/>
      <c r="BS40" s="63"/>
      <c r="BT40" s="34"/>
      <c r="BV40" s="63"/>
      <c r="BW40" s="34"/>
      <c r="BY40" s="63"/>
      <c r="BZ40" s="34"/>
    </row>
    <row r="41" spans="1:78" s="19" customFormat="1" x14ac:dyDescent="0.25">
      <c r="A41" s="19" t="s">
        <v>45</v>
      </c>
      <c r="B41" s="19" t="s">
        <v>31</v>
      </c>
      <c r="C41" s="18">
        <f>225+54</f>
        <v>279</v>
      </c>
      <c r="D41" s="18" t="s">
        <v>18</v>
      </c>
      <c r="E41" s="21">
        <v>9</v>
      </c>
      <c r="F41" s="20">
        <v>0</v>
      </c>
      <c r="G41" s="20">
        <f t="shared" si="3"/>
        <v>279</v>
      </c>
      <c r="H41" s="20">
        <f t="shared" si="4"/>
        <v>279</v>
      </c>
      <c r="I41" s="55"/>
      <c r="J41" s="50"/>
      <c r="K41" s="57"/>
      <c r="L41" s="56"/>
      <c r="M41" s="50">
        <f t="shared" si="14"/>
        <v>0</v>
      </c>
      <c r="N41" s="57"/>
      <c r="O41" s="27"/>
      <c r="P41" s="22"/>
      <c r="Q41" s="30"/>
      <c r="R41" s="27"/>
      <c r="S41" s="22"/>
      <c r="T41" s="30"/>
      <c r="U41" s="27"/>
      <c r="V41" s="22"/>
      <c r="W41" s="30"/>
      <c r="X41" s="58">
        <f t="shared" si="24"/>
        <v>15.525</v>
      </c>
      <c r="Y41" s="38">
        <f t="shared" si="15"/>
        <v>621</v>
      </c>
      <c r="Z41" s="59">
        <v>69</v>
      </c>
      <c r="AA41" s="27">
        <f t="shared" si="23"/>
        <v>15.75</v>
      </c>
      <c r="AB41" s="22">
        <f t="shared" si="17"/>
        <v>630</v>
      </c>
      <c r="AC41" s="30">
        <v>70</v>
      </c>
      <c r="AD41" s="27">
        <f t="shared" si="18"/>
        <v>15.75</v>
      </c>
      <c r="AE41" s="22">
        <f t="shared" si="19"/>
        <v>630</v>
      </c>
      <c r="AF41" s="57">
        <v>70</v>
      </c>
      <c r="AG41" s="27">
        <f t="shared" si="20"/>
        <v>15.75</v>
      </c>
      <c r="AH41" s="22">
        <f t="shared" si="21"/>
        <v>630</v>
      </c>
      <c r="AI41" s="30">
        <v>70</v>
      </c>
      <c r="AJ41" s="60"/>
      <c r="AK41" s="44"/>
      <c r="AL41" s="62"/>
      <c r="AM41" s="27"/>
      <c r="AN41" s="22"/>
      <c r="AO41" s="30"/>
      <c r="AP41" s="27"/>
      <c r="AQ41" s="22"/>
      <c r="AR41" s="30"/>
      <c r="AS41" s="27"/>
      <c r="AT41" s="22"/>
      <c r="AU41" s="30"/>
      <c r="AV41" s="34"/>
      <c r="AX41" s="63"/>
      <c r="AY41" s="34"/>
      <c r="BA41" s="63"/>
      <c r="BB41" s="34"/>
      <c r="BD41" s="63"/>
      <c r="BE41" s="34"/>
      <c r="BG41" s="63"/>
      <c r="BH41" s="34"/>
      <c r="BJ41" s="63"/>
      <c r="BK41" s="34"/>
      <c r="BM41" s="63"/>
      <c r="BN41" s="34"/>
      <c r="BP41" s="63"/>
      <c r="BQ41" s="34"/>
      <c r="BS41" s="63"/>
      <c r="BT41" s="34"/>
      <c r="BV41" s="63"/>
      <c r="BW41" s="34"/>
      <c r="BY41" s="63"/>
      <c r="BZ41" s="34"/>
    </row>
    <row r="42" spans="1:78" s="19" customFormat="1" x14ac:dyDescent="0.25">
      <c r="A42" s="19" t="s">
        <v>45</v>
      </c>
      <c r="B42" s="19" t="s">
        <v>47</v>
      </c>
      <c r="C42" s="18">
        <v>300</v>
      </c>
      <c r="D42" s="18" t="s">
        <v>18</v>
      </c>
      <c r="E42" s="21">
        <v>9</v>
      </c>
      <c r="F42" s="20">
        <v>0</v>
      </c>
      <c r="G42" s="20">
        <f t="shared" si="3"/>
        <v>300</v>
      </c>
      <c r="H42" s="20">
        <f t="shared" si="4"/>
        <v>300</v>
      </c>
      <c r="I42" s="55"/>
      <c r="J42" s="50"/>
      <c r="K42" s="57"/>
      <c r="L42" s="56"/>
      <c r="M42" s="50">
        <f t="shared" si="14"/>
        <v>0</v>
      </c>
      <c r="N42" s="57"/>
      <c r="O42" s="27"/>
      <c r="P42" s="22"/>
      <c r="Q42" s="30"/>
      <c r="R42" s="27"/>
      <c r="S42" s="22"/>
      <c r="T42" s="30"/>
      <c r="U42" s="27"/>
      <c r="V42" s="22"/>
      <c r="W42" s="30"/>
      <c r="X42" s="58">
        <f t="shared" si="24"/>
        <v>16.875</v>
      </c>
      <c r="Y42" s="38">
        <f t="shared" si="15"/>
        <v>675</v>
      </c>
      <c r="Z42" s="59">
        <v>75</v>
      </c>
      <c r="AA42" s="27">
        <f t="shared" si="23"/>
        <v>16.875</v>
      </c>
      <c r="AB42" s="22">
        <f t="shared" si="17"/>
        <v>675</v>
      </c>
      <c r="AC42" s="30">
        <v>75</v>
      </c>
      <c r="AD42" s="27">
        <f t="shared" si="18"/>
        <v>16.875</v>
      </c>
      <c r="AE42" s="22">
        <f t="shared" si="19"/>
        <v>675</v>
      </c>
      <c r="AF42" s="57">
        <v>75</v>
      </c>
      <c r="AG42" s="27">
        <f t="shared" si="20"/>
        <v>16.875</v>
      </c>
      <c r="AH42" s="22">
        <f t="shared" si="21"/>
        <v>675</v>
      </c>
      <c r="AI42" s="30">
        <v>75</v>
      </c>
      <c r="AJ42" s="60"/>
      <c r="AK42" s="44"/>
      <c r="AL42" s="62"/>
      <c r="AM42" s="27"/>
      <c r="AN42" s="22"/>
      <c r="AO42" s="30"/>
      <c r="AP42" s="27"/>
      <c r="AQ42" s="22"/>
      <c r="AR42" s="30"/>
      <c r="AS42" s="27"/>
      <c r="AT42" s="22"/>
      <c r="AU42" s="30"/>
      <c r="AV42" s="34"/>
      <c r="AX42" s="63"/>
      <c r="AY42" s="34"/>
      <c r="BA42" s="63"/>
      <c r="BB42" s="34"/>
      <c r="BD42" s="63"/>
      <c r="BE42" s="34"/>
      <c r="BG42" s="63"/>
      <c r="BH42" s="34"/>
      <c r="BJ42" s="63"/>
      <c r="BK42" s="34"/>
      <c r="BM42" s="63"/>
      <c r="BN42" s="34"/>
      <c r="BP42" s="63"/>
      <c r="BQ42" s="34"/>
      <c r="BS42" s="63"/>
      <c r="BT42" s="34"/>
      <c r="BV42" s="63"/>
      <c r="BW42" s="34"/>
      <c r="BY42" s="63"/>
      <c r="BZ42" s="34"/>
    </row>
    <row r="43" spans="1:78" s="19" customFormat="1" x14ac:dyDescent="0.25">
      <c r="A43" s="19" t="s">
        <v>45</v>
      </c>
      <c r="B43" s="19" t="s">
        <v>48</v>
      </c>
      <c r="C43" s="18">
        <v>150</v>
      </c>
      <c r="D43" s="18" t="s">
        <v>18</v>
      </c>
      <c r="E43" s="21">
        <v>11</v>
      </c>
      <c r="F43" s="20">
        <v>0</v>
      </c>
      <c r="G43" s="20">
        <f t="shared" si="3"/>
        <v>150</v>
      </c>
      <c r="H43" s="20">
        <f t="shared" si="4"/>
        <v>150</v>
      </c>
      <c r="I43" s="55"/>
      <c r="J43" s="50"/>
      <c r="K43" s="57"/>
      <c r="L43" s="56"/>
      <c r="M43" s="50">
        <f t="shared" si="14"/>
        <v>0</v>
      </c>
      <c r="N43" s="57"/>
      <c r="O43" s="27"/>
      <c r="P43" s="22"/>
      <c r="Q43" s="30"/>
      <c r="R43" s="27"/>
      <c r="S43" s="22"/>
      <c r="T43" s="30"/>
      <c r="U43" s="27"/>
      <c r="V43" s="22"/>
      <c r="W43" s="30"/>
      <c r="X43" s="58">
        <f t="shared" si="24"/>
        <v>10.45</v>
      </c>
      <c r="Y43" s="38">
        <f t="shared" si="15"/>
        <v>418</v>
      </c>
      <c r="Z43" s="59">
        <v>38</v>
      </c>
      <c r="AA43" s="27">
        <f t="shared" si="23"/>
        <v>10.45</v>
      </c>
      <c r="AB43" s="22">
        <f t="shared" si="17"/>
        <v>418</v>
      </c>
      <c r="AC43" s="30">
        <v>38</v>
      </c>
      <c r="AD43" s="27">
        <f t="shared" si="18"/>
        <v>10.175000000000001</v>
      </c>
      <c r="AE43" s="22">
        <f t="shared" si="19"/>
        <v>407</v>
      </c>
      <c r="AF43" s="57">
        <v>37</v>
      </c>
      <c r="AG43" s="27">
        <f t="shared" si="20"/>
        <v>10.175000000000001</v>
      </c>
      <c r="AH43" s="22">
        <f t="shared" si="21"/>
        <v>407</v>
      </c>
      <c r="AI43" s="30">
        <v>37</v>
      </c>
      <c r="AJ43" s="60"/>
      <c r="AK43" s="44"/>
      <c r="AL43" s="62"/>
      <c r="AM43" s="27"/>
      <c r="AN43" s="22"/>
      <c r="AO43" s="30"/>
      <c r="AP43" s="27"/>
      <c r="AQ43" s="22"/>
      <c r="AR43" s="30"/>
      <c r="AS43" s="27"/>
      <c r="AT43" s="22"/>
      <c r="AU43" s="30"/>
      <c r="AV43" s="34"/>
      <c r="AX43" s="63"/>
      <c r="AY43" s="34"/>
      <c r="BA43" s="63"/>
      <c r="BB43" s="34"/>
      <c r="BD43" s="63"/>
      <c r="BE43" s="34"/>
      <c r="BG43" s="63"/>
      <c r="BH43" s="34"/>
      <c r="BJ43" s="63"/>
      <c r="BK43" s="34"/>
      <c r="BM43" s="63"/>
      <c r="BN43" s="34"/>
      <c r="BP43" s="63"/>
      <c r="BQ43" s="34"/>
      <c r="BS43" s="63"/>
      <c r="BT43" s="34"/>
      <c r="BV43" s="63"/>
      <c r="BW43" s="34"/>
      <c r="BY43" s="63"/>
      <c r="BZ43" s="34"/>
    </row>
    <row r="44" spans="1:78" s="19" customFormat="1" x14ac:dyDescent="0.25">
      <c r="A44" s="82" t="s">
        <v>68</v>
      </c>
      <c r="B44" s="82" t="s">
        <v>48</v>
      </c>
      <c r="C44" s="65">
        <v>379</v>
      </c>
      <c r="D44" s="18" t="s">
        <v>18</v>
      </c>
      <c r="E44" s="21">
        <v>10</v>
      </c>
      <c r="F44" s="20">
        <v>0</v>
      </c>
      <c r="G44" s="20">
        <f t="shared" ref="G44:G49" si="25">+C44-F44</f>
        <v>379</v>
      </c>
      <c r="H44" s="20">
        <f t="shared" si="4"/>
        <v>379</v>
      </c>
      <c r="I44" s="55"/>
      <c r="J44" s="50"/>
      <c r="K44" s="57"/>
      <c r="L44" s="56"/>
      <c r="M44" s="50">
        <f t="shared" si="14"/>
        <v>0</v>
      </c>
      <c r="N44" s="57"/>
      <c r="O44" s="27"/>
      <c r="P44" s="22"/>
      <c r="Q44" s="30"/>
      <c r="R44" s="27"/>
      <c r="S44" s="22"/>
      <c r="T44" s="30"/>
      <c r="U44" s="27"/>
      <c r="V44" s="22"/>
      <c r="W44" s="30"/>
      <c r="X44" s="58"/>
      <c r="Y44" s="38"/>
      <c r="Z44" s="59"/>
      <c r="AA44" s="27"/>
      <c r="AB44" s="22"/>
      <c r="AC44" s="57"/>
      <c r="AD44" s="27"/>
      <c r="AE44" s="22"/>
      <c r="AF44" s="57"/>
      <c r="AG44" s="27">
        <f>+AH44/40</f>
        <v>23.75</v>
      </c>
      <c r="AH44" s="22">
        <f t="shared" ref="AH44:AH49" si="26">+AI44*E44</f>
        <v>950</v>
      </c>
      <c r="AI44" s="30">
        <v>95</v>
      </c>
      <c r="AJ44" s="56">
        <f>+AK44/40</f>
        <v>23.75</v>
      </c>
      <c r="AK44" s="22">
        <f t="shared" ref="AK44:AK49" si="27">+AL44*E44</f>
        <v>950</v>
      </c>
      <c r="AL44" s="30">
        <v>95</v>
      </c>
      <c r="AM44" s="27">
        <f>+AN44/40</f>
        <v>23.75</v>
      </c>
      <c r="AN44" s="22">
        <f t="shared" ref="AN44:AN49" si="28">+AO44*E44</f>
        <v>950</v>
      </c>
      <c r="AO44" s="30">
        <v>95</v>
      </c>
      <c r="AP44" s="27">
        <f>+AQ44/40</f>
        <v>23.5</v>
      </c>
      <c r="AQ44" s="22">
        <f t="shared" ref="AQ44:AQ49" si="29">+AR44*E44</f>
        <v>940</v>
      </c>
      <c r="AR44" s="30">
        <v>94</v>
      </c>
      <c r="AS44" s="27"/>
      <c r="AT44" s="22"/>
      <c r="AU44" s="30"/>
      <c r="AV44" s="34"/>
      <c r="AX44" s="63"/>
      <c r="AY44" s="34"/>
      <c r="BA44" s="63"/>
      <c r="BB44" s="34"/>
      <c r="BD44" s="63"/>
      <c r="BE44" s="34"/>
      <c r="BG44" s="63"/>
      <c r="BH44" s="61"/>
      <c r="BI44" s="54"/>
      <c r="BJ44" s="64"/>
      <c r="BK44" s="34"/>
      <c r="BM44" s="63"/>
      <c r="BN44" s="34"/>
      <c r="BP44" s="63"/>
      <c r="BQ44" s="34"/>
      <c r="BS44" s="63"/>
      <c r="BT44" s="34"/>
      <c r="BV44" s="63"/>
      <c r="BW44" s="34"/>
      <c r="BY44" s="63"/>
      <c r="BZ44" s="34"/>
    </row>
    <row r="45" spans="1:78" s="19" customFormat="1" x14ac:dyDescent="0.25">
      <c r="A45" s="82" t="s">
        <v>68</v>
      </c>
      <c r="B45" s="83" t="s">
        <v>63</v>
      </c>
      <c r="C45" s="65">
        <v>416</v>
      </c>
      <c r="D45" s="18" t="s">
        <v>18</v>
      </c>
      <c r="E45" s="21">
        <v>9</v>
      </c>
      <c r="F45" s="20">
        <v>0</v>
      </c>
      <c r="G45" s="20">
        <f t="shared" si="25"/>
        <v>416</v>
      </c>
      <c r="H45" s="20">
        <f t="shared" si="4"/>
        <v>416</v>
      </c>
      <c r="I45" s="55"/>
      <c r="J45" s="50"/>
      <c r="K45" s="57"/>
      <c r="L45" s="56"/>
      <c r="M45" s="50">
        <f t="shared" si="14"/>
        <v>0</v>
      </c>
      <c r="N45" s="57"/>
      <c r="O45" s="27"/>
      <c r="P45" s="22"/>
      <c r="Q45" s="30"/>
      <c r="R45" s="27"/>
      <c r="S45" s="22"/>
      <c r="T45" s="30"/>
      <c r="U45" s="27"/>
      <c r="V45" s="22"/>
      <c r="W45" s="30"/>
      <c r="X45" s="58"/>
      <c r="Y45" s="38"/>
      <c r="Z45" s="59"/>
      <c r="AA45" s="27"/>
      <c r="AB45" s="22"/>
      <c r="AC45" s="30"/>
      <c r="AD45" s="27"/>
      <c r="AE45" s="22"/>
      <c r="AF45" s="57"/>
      <c r="AG45" s="27">
        <f t="shared" ref="AG45:AG49" si="30">+AH45/40</f>
        <v>23.4</v>
      </c>
      <c r="AH45" s="22">
        <f t="shared" si="26"/>
        <v>936</v>
      </c>
      <c r="AI45" s="30">
        <v>104</v>
      </c>
      <c r="AJ45" s="56">
        <f t="shared" ref="AJ45:AJ49" si="31">+AK45/40</f>
        <v>23.4</v>
      </c>
      <c r="AK45" s="22">
        <f t="shared" si="27"/>
        <v>936</v>
      </c>
      <c r="AL45" s="30">
        <v>104</v>
      </c>
      <c r="AM45" s="27">
        <f t="shared" ref="AM45:AM49" si="32">+AN45/40</f>
        <v>23.4</v>
      </c>
      <c r="AN45" s="22">
        <f t="shared" si="28"/>
        <v>936</v>
      </c>
      <c r="AO45" s="30">
        <v>104</v>
      </c>
      <c r="AP45" s="27">
        <f t="shared" ref="AP45:AP49" si="33">+AQ45/40</f>
        <v>23.4</v>
      </c>
      <c r="AQ45" s="22">
        <f t="shared" si="29"/>
        <v>936</v>
      </c>
      <c r="AR45" s="30">
        <v>104</v>
      </c>
      <c r="AS45" s="27"/>
      <c r="AT45" s="22"/>
      <c r="AU45" s="30"/>
      <c r="AV45" s="34"/>
      <c r="AX45" s="63"/>
      <c r="AY45" s="34"/>
      <c r="BA45" s="63"/>
      <c r="BB45" s="34"/>
      <c r="BD45" s="63"/>
      <c r="BE45" s="34"/>
      <c r="BG45" s="63"/>
      <c r="BH45" s="61"/>
      <c r="BI45" s="54"/>
      <c r="BJ45" s="64"/>
      <c r="BK45" s="34"/>
      <c r="BM45" s="63"/>
      <c r="BN45" s="34"/>
      <c r="BP45" s="63"/>
      <c r="BQ45" s="34"/>
      <c r="BS45" s="63"/>
      <c r="BT45" s="34"/>
      <c r="BV45" s="63"/>
      <c r="BW45" s="34"/>
      <c r="BY45" s="63"/>
      <c r="BZ45" s="34"/>
    </row>
    <row r="46" spans="1:78" s="19" customFormat="1" x14ac:dyDescent="0.25">
      <c r="A46" s="82" t="s">
        <v>68</v>
      </c>
      <c r="B46" s="83" t="s">
        <v>64</v>
      </c>
      <c r="C46" s="65">
        <v>459</v>
      </c>
      <c r="D46" s="18" t="s">
        <v>18</v>
      </c>
      <c r="E46" s="21">
        <v>9</v>
      </c>
      <c r="F46" s="20">
        <v>0</v>
      </c>
      <c r="G46" s="20">
        <f t="shared" si="25"/>
        <v>459</v>
      </c>
      <c r="H46" s="20">
        <f t="shared" si="4"/>
        <v>459</v>
      </c>
      <c r="I46" s="55"/>
      <c r="J46" s="50"/>
      <c r="K46" s="57"/>
      <c r="L46" s="56"/>
      <c r="M46" s="50">
        <f t="shared" si="14"/>
        <v>0</v>
      </c>
      <c r="N46" s="57"/>
      <c r="O46" s="27"/>
      <c r="P46" s="22"/>
      <c r="Q46" s="30"/>
      <c r="R46" s="27"/>
      <c r="S46" s="22"/>
      <c r="T46" s="30"/>
      <c r="U46" s="27"/>
      <c r="V46" s="22"/>
      <c r="W46" s="30"/>
      <c r="X46" s="58"/>
      <c r="Y46" s="38"/>
      <c r="Z46" s="59"/>
      <c r="AA46" s="27"/>
      <c r="AB46" s="22"/>
      <c r="AC46" s="30"/>
      <c r="AD46" s="27"/>
      <c r="AE46" s="22"/>
      <c r="AF46" s="57"/>
      <c r="AG46" s="27">
        <f t="shared" si="30"/>
        <v>25.875</v>
      </c>
      <c r="AH46" s="22">
        <f t="shared" si="26"/>
        <v>1035</v>
      </c>
      <c r="AI46" s="30">
        <v>115</v>
      </c>
      <c r="AJ46" s="56">
        <f t="shared" si="31"/>
        <v>25.875</v>
      </c>
      <c r="AK46" s="22">
        <f t="shared" si="27"/>
        <v>1035</v>
      </c>
      <c r="AL46" s="30">
        <v>115</v>
      </c>
      <c r="AM46" s="27">
        <f t="shared" si="32"/>
        <v>25.65</v>
      </c>
      <c r="AN46" s="22">
        <f t="shared" si="28"/>
        <v>1026</v>
      </c>
      <c r="AO46" s="30">
        <v>114</v>
      </c>
      <c r="AP46" s="27">
        <f t="shared" si="33"/>
        <v>25.875</v>
      </c>
      <c r="AQ46" s="22">
        <f t="shared" si="29"/>
        <v>1035</v>
      </c>
      <c r="AR46" s="30">
        <v>115</v>
      </c>
      <c r="AS46" s="27"/>
      <c r="AT46" s="22"/>
      <c r="AU46" s="30"/>
      <c r="AV46" s="34"/>
      <c r="AX46" s="63"/>
      <c r="AY46" s="34"/>
      <c r="BA46" s="63"/>
      <c r="BB46" s="34"/>
      <c r="BD46" s="63"/>
      <c r="BE46" s="34"/>
      <c r="BG46" s="63"/>
      <c r="BH46" s="61"/>
      <c r="BI46" s="54"/>
      <c r="BJ46" s="64"/>
      <c r="BK46" s="34"/>
      <c r="BM46" s="63"/>
      <c r="BN46" s="34"/>
      <c r="BP46" s="63"/>
      <c r="BQ46" s="34"/>
      <c r="BS46" s="63"/>
      <c r="BT46" s="34"/>
      <c r="BV46" s="63"/>
      <c r="BW46" s="34"/>
      <c r="BY46" s="63"/>
      <c r="BZ46" s="34"/>
    </row>
    <row r="47" spans="1:78" s="19" customFormat="1" x14ac:dyDescent="0.25">
      <c r="A47" s="82" t="s">
        <v>68</v>
      </c>
      <c r="B47" s="83" t="s">
        <v>65</v>
      </c>
      <c r="C47" s="65">
        <v>527</v>
      </c>
      <c r="D47" s="18" t="s">
        <v>18</v>
      </c>
      <c r="E47" s="21">
        <v>8</v>
      </c>
      <c r="F47" s="20">
        <v>0</v>
      </c>
      <c r="G47" s="20">
        <f t="shared" si="25"/>
        <v>527</v>
      </c>
      <c r="H47" s="20">
        <f t="shared" si="4"/>
        <v>526</v>
      </c>
      <c r="I47" s="55"/>
      <c r="J47" s="50"/>
      <c r="K47" s="57"/>
      <c r="L47" s="56"/>
      <c r="M47" s="50">
        <f t="shared" si="14"/>
        <v>0</v>
      </c>
      <c r="N47" s="57"/>
      <c r="O47" s="27"/>
      <c r="P47" s="22"/>
      <c r="Q47" s="30"/>
      <c r="R47" s="27"/>
      <c r="S47" s="22"/>
      <c r="T47" s="30"/>
      <c r="U47" s="27"/>
      <c r="V47" s="22"/>
      <c r="W47" s="30"/>
      <c r="X47" s="58"/>
      <c r="Y47" s="38"/>
      <c r="Z47" s="59"/>
      <c r="AA47" s="27"/>
      <c r="AB47" s="22"/>
      <c r="AC47" s="30"/>
      <c r="AD47" s="27"/>
      <c r="AE47" s="22"/>
      <c r="AF47" s="57"/>
      <c r="AG47" s="27">
        <f t="shared" si="30"/>
        <v>26.2</v>
      </c>
      <c r="AH47" s="22">
        <f t="shared" si="26"/>
        <v>1048</v>
      </c>
      <c r="AI47" s="30">
        <v>131</v>
      </c>
      <c r="AJ47" s="56">
        <f t="shared" si="31"/>
        <v>26.2</v>
      </c>
      <c r="AK47" s="22">
        <f t="shared" si="27"/>
        <v>1048</v>
      </c>
      <c r="AL47" s="30">
        <v>131</v>
      </c>
      <c r="AM47" s="27">
        <f t="shared" si="32"/>
        <v>26.4</v>
      </c>
      <c r="AN47" s="22">
        <f t="shared" si="28"/>
        <v>1056</v>
      </c>
      <c r="AO47" s="30">
        <v>132</v>
      </c>
      <c r="AP47" s="27">
        <f t="shared" si="33"/>
        <v>26.4</v>
      </c>
      <c r="AQ47" s="22">
        <f t="shared" si="29"/>
        <v>1056</v>
      </c>
      <c r="AR47" s="30">
        <v>132</v>
      </c>
      <c r="AS47" s="27"/>
      <c r="AT47" s="22"/>
      <c r="AU47" s="30"/>
      <c r="AV47" s="34"/>
      <c r="AX47" s="63"/>
      <c r="AY47" s="34"/>
      <c r="BA47" s="63"/>
      <c r="BB47" s="34"/>
      <c r="BD47" s="63"/>
      <c r="BE47" s="34"/>
      <c r="BG47" s="63"/>
      <c r="BH47" s="61"/>
      <c r="BI47" s="54"/>
      <c r="BJ47" s="64"/>
      <c r="BK47" s="34"/>
      <c r="BM47" s="63"/>
      <c r="BN47" s="34"/>
      <c r="BP47" s="63"/>
      <c r="BQ47" s="34"/>
      <c r="BS47" s="63"/>
      <c r="BT47" s="34"/>
      <c r="BV47" s="63"/>
      <c r="BW47" s="34"/>
      <c r="BY47" s="63"/>
      <c r="BZ47" s="34"/>
    </row>
    <row r="48" spans="1:78" s="19" customFormat="1" x14ac:dyDescent="0.25">
      <c r="A48" s="82" t="s">
        <v>68</v>
      </c>
      <c r="B48" s="83" t="s">
        <v>66</v>
      </c>
      <c r="C48" s="65">
        <v>593</v>
      </c>
      <c r="D48" s="18" t="s">
        <v>18</v>
      </c>
      <c r="E48" s="21">
        <v>8</v>
      </c>
      <c r="F48" s="20">
        <v>0</v>
      </c>
      <c r="G48" s="20">
        <f t="shared" si="25"/>
        <v>593</v>
      </c>
      <c r="H48" s="20">
        <f t="shared" si="4"/>
        <v>593</v>
      </c>
      <c r="I48" s="55"/>
      <c r="J48" s="50"/>
      <c r="K48" s="57"/>
      <c r="L48" s="56"/>
      <c r="M48" s="50">
        <f t="shared" si="14"/>
        <v>0</v>
      </c>
      <c r="N48" s="57"/>
      <c r="O48" s="27"/>
      <c r="P48" s="22"/>
      <c r="Q48" s="30"/>
      <c r="R48" s="27"/>
      <c r="S48" s="22"/>
      <c r="T48" s="30"/>
      <c r="U48" s="27"/>
      <c r="V48" s="22"/>
      <c r="W48" s="30"/>
      <c r="X48" s="58"/>
      <c r="Y48" s="38"/>
      <c r="Z48" s="59"/>
      <c r="AA48" s="27"/>
      <c r="AB48" s="22"/>
      <c r="AC48" s="30"/>
      <c r="AD48" s="27"/>
      <c r="AE48" s="22"/>
      <c r="AF48" s="57"/>
      <c r="AG48" s="27">
        <f t="shared" si="30"/>
        <v>29.8</v>
      </c>
      <c r="AH48" s="22">
        <f t="shared" si="26"/>
        <v>1192</v>
      </c>
      <c r="AI48" s="30">
        <v>149</v>
      </c>
      <c r="AJ48" s="56">
        <f t="shared" si="31"/>
        <v>29.6</v>
      </c>
      <c r="AK48" s="22">
        <f t="shared" si="27"/>
        <v>1184</v>
      </c>
      <c r="AL48" s="30">
        <v>148</v>
      </c>
      <c r="AM48" s="27">
        <f t="shared" si="32"/>
        <v>29.6</v>
      </c>
      <c r="AN48" s="22">
        <f t="shared" si="28"/>
        <v>1184</v>
      </c>
      <c r="AO48" s="30">
        <v>148</v>
      </c>
      <c r="AP48" s="27">
        <f t="shared" si="33"/>
        <v>29.6</v>
      </c>
      <c r="AQ48" s="22">
        <f t="shared" si="29"/>
        <v>1184</v>
      </c>
      <c r="AR48" s="30">
        <v>148</v>
      </c>
      <c r="AS48" s="27"/>
      <c r="AT48" s="22"/>
      <c r="AU48" s="30"/>
      <c r="AV48" s="34"/>
      <c r="AX48" s="63"/>
      <c r="AY48" s="34"/>
      <c r="BA48" s="63"/>
      <c r="BB48" s="34"/>
      <c r="BD48" s="63"/>
      <c r="BE48" s="34"/>
      <c r="BG48" s="63"/>
      <c r="BH48" s="61"/>
      <c r="BI48" s="54"/>
      <c r="BJ48" s="64"/>
      <c r="BK48" s="34"/>
      <c r="BM48" s="63"/>
      <c r="BN48" s="34"/>
      <c r="BP48" s="63"/>
      <c r="BQ48" s="34"/>
      <c r="BS48" s="63"/>
      <c r="BT48" s="34"/>
      <c r="BV48" s="63"/>
      <c r="BW48" s="34"/>
      <c r="BY48" s="63"/>
      <c r="BZ48" s="34"/>
    </row>
    <row r="49" spans="1:78" s="19" customFormat="1" x14ac:dyDescent="0.25">
      <c r="A49" s="82" t="s">
        <v>68</v>
      </c>
      <c r="B49" s="83" t="s">
        <v>67</v>
      </c>
      <c r="C49" s="65">
        <v>548</v>
      </c>
      <c r="D49" s="18" t="s">
        <v>18</v>
      </c>
      <c r="E49" s="21">
        <v>8</v>
      </c>
      <c r="F49" s="20">
        <v>0</v>
      </c>
      <c r="G49" s="20">
        <f t="shared" si="25"/>
        <v>548</v>
      </c>
      <c r="H49" s="20">
        <f t="shared" si="4"/>
        <v>548</v>
      </c>
      <c r="I49" s="55"/>
      <c r="J49" s="50"/>
      <c r="K49" s="57"/>
      <c r="L49" s="56"/>
      <c r="M49" s="50">
        <f t="shared" si="14"/>
        <v>0</v>
      </c>
      <c r="N49" s="57"/>
      <c r="O49" s="27"/>
      <c r="P49" s="22"/>
      <c r="Q49" s="30"/>
      <c r="R49" s="27"/>
      <c r="S49" s="22"/>
      <c r="T49" s="30"/>
      <c r="U49" s="27"/>
      <c r="V49" s="22"/>
      <c r="W49" s="30"/>
      <c r="X49" s="58"/>
      <c r="Y49" s="38"/>
      <c r="Z49" s="59"/>
      <c r="AA49" s="27"/>
      <c r="AB49" s="22"/>
      <c r="AC49" s="30"/>
      <c r="AD49" s="27"/>
      <c r="AE49" s="22"/>
      <c r="AF49" s="57"/>
      <c r="AG49" s="27">
        <f t="shared" si="30"/>
        <v>27.4</v>
      </c>
      <c r="AH49" s="22">
        <f t="shared" si="26"/>
        <v>1096</v>
      </c>
      <c r="AI49" s="30">
        <v>137</v>
      </c>
      <c r="AJ49" s="56">
        <f t="shared" si="31"/>
        <v>27.4</v>
      </c>
      <c r="AK49" s="22">
        <f t="shared" si="27"/>
        <v>1096</v>
      </c>
      <c r="AL49" s="30">
        <v>137</v>
      </c>
      <c r="AM49" s="27">
        <f t="shared" si="32"/>
        <v>27.4</v>
      </c>
      <c r="AN49" s="22">
        <f t="shared" si="28"/>
        <v>1096</v>
      </c>
      <c r="AO49" s="30">
        <v>137</v>
      </c>
      <c r="AP49" s="27">
        <f t="shared" si="33"/>
        <v>27.4</v>
      </c>
      <c r="AQ49" s="22">
        <f t="shared" si="29"/>
        <v>1096</v>
      </c>
      <c r="AR49" s="30">
        <v>137</v>
      </c>
      <c r="AS49" s="27"/>
      <c r="AT49" s="22"/>
      <c r="AU49" s="30"/>
      <c r="AV49" s="34"/>
      <c r="AX49" s="63"/>
      <c r="AY49" s="34"/>
      <c r="BA49" s="63"/>
      <c r="BB49" s="34"/>
      <c r="BD49" s="63"/>
      <c r="BE49" s="34"/>
      <c r="BG49" s="63"/>
      <c r="BH49" s="61"/>
      <c r="BI49" s="54"/>
      <c r="BJ49" s="64"/>
      <c r="BK49" s="34"/>
      <c r="BM49" s="63"/>
      <c r="BN49" s="34"/>
      <c r="BP49" s="63"/>
      <c r="BQ49" s="34"/>
      <c r="BS49" s="63"/>
      <c r="BT49" s="34"/>
      <c r="BV49" s="63"/>
      <c r="BW49" s="34"/>
      <c r="BY49" s="63"/>
      <c r="BZ49" s="34"/>
    </row>
    <row r="50" spans="1:78" x14ac:dyDescent="0.25">
      <c r="H50" s="16"/>
      <c r="L50" s="45"/>
      <c r="M50" s="45"/>
      <c r="N50" s="46"/>
    </row>
    <row r="51" spans="1:78" x14ac:dyDescent="0.25">
      <c r="F51" s="15"/>
      <c r="I51" s="3">
        <f>SUM(I6:I49)</f>
        <v>8</v>
      </c>
      <c r="J51">
        <f>SUM(J6:J49)</f>
        <v>1254</v>
      </c>
      <c r="L51" s="3">
        <f>SUM(L6:L49)</f>
        <v>16</v>
      </c>
      <c r="M51">
        <f>SUM(M6:M49)</f>
        <v>269</v>
      </c>
      <c r="O51" s="3">
        <f>SUM(O6:O49)</f>
        <v>1.2749999999999999</v>
      </c>
      <c r="P51">
        <f>SUM(P6:P49)</f>
        <v>51</v>
      </c>
      <c r="R51" s="3">
        <f>SUM(R6:R49)</f>
        <v>147</v>
      </c>
      <c r="S51">
        <f>SUM(S6:S49)</f>
        <v>5880</v>
      </c>
      <c r="U51" s="3">
        <f>SUM(U6:U43)</f>
        <v>103.55</v>
      </c>
      <c r="V51">
        <f>SUM(V6:V49)</f>
        <v>4142</v>
      </c>
      <c r="X51" s="3">
        <f>SUM(X6:X43)</f>
        <v>1844.58125</v>
      </c>
      <c r="Y51">
        <f>SUM(Y6:Y49)</f>
        <v>73783.25</v>
      </c>
      <c r="AA51" s="3">
        <f>SUM(AA6:AA43)</f>
        <v>181.36874999999998</v>
      </c>
      <c r="AB51">
        <f>SUM(AB6:AB49)</f>
        <v>7254.75</v>
      </c>
      <c r="AD51" s="3">
        <f>SUM(AD6:AD49)</f>
        <v>182.80625000000001</v>
      </c>
      <c r="AE51">
        <f>SUM(AE6:AE49)</f>
        <v>7312.25</v>
      </c>
      <c r="AG51" s="3">
        <f>SUM(AG6:AG49)</f>
        <v>338.25625000000002</v>
      </c>
      <c r="AH51">
        <f>SUM(AH6:AH49)</f>
        <v>13530.25</v>
      </c>
      <c r="AJ51" s="3">
        <f>SUM(AJ6:AJ49)</f>
        <v>156.22500000000002</v>
      </c>
      <c r="AK51">
        <f>SUM(AK6:AK49)</f>
        <v>6249</v>
      </c>
      <c r="AM51" s="3">
        <f>SUM(AM6:AM49)</f>
        <v>156.19999999999999</v>
      </c>
      <c r="AN51">
        <f>SUM(AN6:AN49)</f>
        <v>6248</v>
      </c>
      <c r="AP51" s="3">
        <f>SUM(AP6:AP49)</f>
        <v>156.17500000000001</v>
      </c>
      <c r="AQ51">
        <f>SUM(AQ6:AQ49)</f>
        <v>6247</v>
      </c>
      <c r="AS51" s="3">
        <f>SUM(AS6:AS49)</f>
        <v>0</v>
      </c>
      <c r="AT51">
        <f>SUM(AT6:AT49)</f>
        <v>0</v>
      </c>
    </row>
    <row r="52" spans="1:78" s="6" customFormat="1" x14ac:dyDescent="0.25">
      <c r="C52" s="7"/>
      <c r="D52" s="7"/>
      <c r="G52" s="7"/>
      <c r="H52"/>
      <c r="I52" s="6">
        <v>42</v>
      </c>
      <c r="J52" s="6">
        <f>J51-(I52*40)</f>
        <v>-426</v>
      </c>
      <c r="K52" s="31"/>
      <c r="L52" s="6">
        <f>+I52</f>
        <v>42</v>
      </c>
      <c r="M52" s="6">
        <f>M51-(L52*40)</f>
        <v>-1411</v>
      </c>
      <c r="N52" s="31"/>
      <c r="O52" s="6">
        <f>+L52</f>
        <v>42</v>
      </c>
      <c r="P52" s="6">
        <f>P51-(O52*40)</f>
        <v>-1629</v>
      </c>
      <c r="Q52" s="31"/>
      <c r="R52" s="6">
        <f>+O52</f>
        <v>42</v>
      </c>
      <c r="S52" s="6">
        <f>S51-(R52*40)</f>
        <v>4200</v>
      </c>
      <c r="T52" s="31"/>
      <c r="U52" s="6">
        <f>+R52</f>
        <v>42</v>
      </c>
      <c r="V52" s="6">
        <f>V51-(U52*40)</f>
        <v>2462</v>
      </c>
      <c r="W52" s="31"/>
      <c r="X52" s="6">
        <f>+U52</f>
        <v>42</v>
      </c>
      <c r="Y52" s="6">
        <f>Y51-(X52*40)</f>
        <v>72103.25</v>
      </c>
      <c r="Z52" s="31"/>
      <c r="AA52" s="6">
        <f>+X52</f>
        <v>42</v>
      </c>
      <c r="AB52" s="6">
        <f>AB51-(AA52*40)</f>
        <v>5574.75</v>
      </c>
      <c r="AC52" s="31"/>
      <c r="AD52" s="6">
        <f>+AA52</f>
        <v>42</v>
      </c>
      <c r="AE52" s="6">
        <f>AE51-(AD52*40)</f>
        <v>5632.25</v>
      </c>
      <c r="AF52" s="31"/>
      <c r="AG52" s="6">
        <f>+AD52</f>
        <v>42</v>
      </c>
      <c r="AH52" s="6">
        <f>AH51-(AG52*40)</f>
        <v>11850.25</v>
      </c>
      <c r="AI52" s="31"/>
      <c r="AJ52" s="6">
        <f>+AG52</f>
        <v>42</v>
      </c>
      <c r="AK52" s="6">
        <f>AK51-(AJ52*40)</f>
        <v>4569</v>
      </c>
      <c r="AL52" s="31"/>
      <c r="AM52" s="6">
        <f>+AJ52</f>
        <v>42</v>
      </c>
      <c r="AN52" s="6">
        <f>AN51-(AM52*40)</f>
        <v>4568</v>
      </c>
      <c r="AO52" s="31"/>
      <c r="AP52" s="6">
        <f>+AM52</f>
        <v>42</v>
      </c>
      <c r="AQ52" s="6">
        <f>AQ51-(AP52*40)</f>
        <v>4567</v>
      </c>
      <c r="AR52" s="31"/>
      <c r="AS52" s="6">
        <f>+AP52</f>
        <v>42</v>
      </c>
      <c r="AT52" s="6">
        <f>AT51-(AS52*40)</f>
        <v>-1680</v>
      </c>
      <c r="AU52" s="31"/>
    </row>
    <row r="53" spans="1:78" x14ac:dyDescent="0.25">
      <c r="B53" s="36" t="s">
        <v>30</v>
      </c>
      <c r="F53" s="3"/>
    </row>
    <row r="54" spans="1:78" x14ac:dyDescent="0.25">
      <c r="B54" s="10" t="s">
        <v>6</v>
      </c>
      <c r="I54" s="33">
        <f>I51/2</f>
        <v>4</v>
      </c>
      <c r="L54" s="33">
        <f>L51/2</f>
        <v>8</v>
      </c>
      <c r="O54" s="33">
        <f>O51/2</f>
        <v>0.63749999999999996</v>
      </c>
      <c r="R54" s="33">
        <f>R51/2</f>
        <v>73.5</v>
      </c>
      <c r="U54" s="33">
        <f>U51/2</f>
        <v>51.774999999999999</v>
      </c>
      <c r="X54" s="33">
        <f>X51/2</f>
        <v>922.29062499999998</v>
      </c>
      <c r="AA54" s="33">
        <f>AA51/2</f>
        <v>90.684374999999989</v>
      </c>
      <c r="AD54" s="33">
        <f>AD51/2</f>
        <v>91.403125000000003</v>
      </c>
      <c r="AG54" s="33">
        <f>AG51/2</f>
        <v>169.12812500000001</v>
      </c>
      <c r="AJ54" s="33">
        <f>AJ51/2</f>
        <v>78.112500000000011</v>
      </c>
      <c r="AM54" s="33">
        <f>AM51/2</f>
        <v>78.099999999999994</v>
      </c>
      <c r="AP54" s="33">
        <f>AP51/2</f>
        <v>78.087500000000006</v>
      </c>
      <c r="AS54" s="33">
        <f>AS51/2</f>
        <v>0</v>
      </c>
    </row>
    <row r="55" spans="1:78" x14ac:dyDescent="0.25">
      <c r="B55" s="11" t="s">
        <v>28</v>
      </c>
    </row>
    <row r="56" spans="1:78" x14ac:dyDescent="0.25">
      <c r="B56" s="9" t="s">
        <v>27</v>
      </c>
    </row>
    <row r="57" spans="1:78" x14ac:dyDescent="0.25">
      <c r="B57" s="35" t="s">
        <v>29</v>
      </c>
    </row>
    <row r="67" spans="2:5" x14ac:dyDescent="0.25">
      <c r="B67" s="39"/>
      <c r="C67" s="39"/>
      <c r="D67" s="39"/>
      <c r="E67" s="40"/>
    </row>
    <row r="68" spans="2:5" x14ac:dyDescent="0.25">
      <c r="B68" s="39"/>
      <c r="C68" s="39"/>
      <c r="D68" s="39"/>
      <c r="E68" s="40"/>
    </row>
    <row r="69" spans="2:5" x14ac:dyDescent="0.25">
      <c r="B69" s="39"/>
      <c r="C69" s="39"/>
      <c r="D69" s="39"/>
      <c r="E69" s="40"/>
    </row>
    <row r="70" spans="2:5" x14ac:dyDescent="0.25">
      <c r="B70" s="39"/>
      <c r="C70" s="39"/>
      <c r="D70" s="39"/>
      <c r="E70" s="40"/>
    </row>
    <row r="71" spans="2:5" x14ac:dyDescent="0.25">
      <c r="B71" s="39"/>
      <c r="C71" s="39"/>
      <c r="D71" s="39"/>
      <c r="E71" s="40"/>
    </row>
    <row r="72" spans="2:5" x14ac:dyDescent="0.25">
      <c r="B72" s="39"/>
      <c r="C72" s="39"/>
      <c r="D72" s="39"/>
      <c r="E72" s="40"/>
    </row>
    <row r="73" spans="2:5" x14ac:dyDescent="0.25">
      <c r="B73" s="41"/>
      <c r="C73" s="41"/>
      <c r="D73" s="41"/>
      <c r="E73" s="42"/>
    </row>
    <row r="74" spans="2:5" x14ac:dyDescent="0.25">
      <c r="B74" s="41"/>
      <c r="C74" s="41"/>
      <c r="D74" s="41"/>
      <c r="E74" s="40"/>
    </row>
    <row r="75" spans="2:5" x14ac:dyDescent="0.25">
      <c r="B75" s="41"/>
      <c r="C75" s="43"/>
      <c r="D75" s="43"/>
      <c r="E75" s="42"/>
    </row>
    <row r="76" spans="2:5" x14ac:dyDescent="0.25">
      <c r="B76" s="41"/>
      <c r="C76" s="43"/>
      <c r="D76" s="43"/>
      <c r="E76" s="42"/>
    </row>
    <row r="77" spans="2:5" x14ac:dyDescent="0.25">
      <c r="B77" s="39"/>
      <c r="C77" s="43"/>
      <c r="D77" s="43"/>
      <c r="E77" s="42"/>
    </row>
    <row r="78" spans="2:5" x14ac:dyDescent="0.25">
      <c r="B78" s="39"/>
      <c r="C78" s="39"/>
      <c r="D78" s="39"/>
      <c r="E78" s="40"/>
    </row>
    <row r="79" spans="2:5" x14ac:dyDescent="0.25">
      <c r="B79" s="39"/>
      <c r="C79" s="39"/>
      <c r="D79" s="39"/>
      <c r="E79" s="40"/>
    </row>
  </sheetData>
  <autoFilter ref="A5:H49" xr:uid="{00000000-0009-0000-0000-000000000000}"/>
  <mergeCells count="37">
    <mergeCell ref="BK4:BM4"/>
    <mergeCell ref="BN4:BP4"/>
    <mergeCell ref="BQ4:BS4"/>
    <mergeCell ref="BT4:BV4"/>
    <mergeCell ref="BW4:BY4"/>
    <mergeCell ref="AV4:AX4"/>
    <mergeCell ref="AY4:BA4"/>
    <mergeCell ref="BB4:BD4"/>
    <mergeCell ref="BE4:BG4"/>
    <mergeCell ref="BH4:BJ4"/>
    <mergeCell ref="AS3:AU3"/>
    <mergeCell ref="AS4:AU4"/>
    <mergeCell ref="AD3:AF3"/>
    <mergeCell ref="AD4:AF4"/>
    <mergeCell ref="AG3:AI3"/>
    <mergeCell ref="AG4:AI4"/>
    <mergeCell ref="AJ3:AL3"/>
    <mergeCell ref="AJ4:AL4"/>
    <mergeCell ref="AM3:AO3"/>
    <mergeCell ref="AM4:AO4"/>
    <mergeCell ref="AP3:AR3"/>
    <mergeCell ref="AP4:AR4"/>
    <mergeCell ref="AA4:AC4"/>
    <mergeCell ref="B1:E1"/>
    <mergeCell ref="L3:N3"/>
    <mergeCell ref="L4:N4"/>
    <mergeCell ref="I3:K3"/>
    <mergeCell ref="I4:K4"/>
    <mergeCell ref="O3:Q3"/>
    <mergeCell ref="O4:Q4"/>
    <mergeCell ref="R3:T3"/>
    <mergeCell ref="R4:T4"/>
    <mergeCell ref="U3:W3"/>
    <mergeCell ref="U4:W4"/>
    <mergeCell ref="X3:Z3"/>
    <mergeCell ref="X4:Z4"/>
    <mergeCell ref="AA3:AC3"/>
  </mergeCells>
  <phoneticPr fontId="3" type="noConversion"/>
  <conditionalFormatting sqref="B67:E69">
    <cfRule type="expression" dxfId="19" priority="26">
      <formula>$V67=5</formula>
    </cfRule>
    <cfRule type="expression" dxfId="18" priority="27">
      <formula>$V67=4</formula>
    </cfRule>
    <cfRule type="expression" dxfId="17" priority="28">
      <formula>$V67=3</formula>
    </cfRule>
    <cfRule type="expression" dxfId="16" priority="29">
      <formula>$V67=2</formula>
    </cfRule>
    <cfRule type="expression" dxfId="15" priority="30">
      <formula>$V67=1</formula>
    </cfRule>
  </conditionalFormatting>
  <conditionalFormatting sqref="B69:E70">
    <cfRule type="expression" dxfId="14" priority="11">
      <formula>$V69=5</formula>
    </cfRule>
    <cfRule type="expression" dxfId="13" priority="12">
      <formula>$V69=4</formula>
    </cfRule>
    <cfRule type="expression" dxfId="12" priority="13">
      <formula>$V69=3</formula>
    </cfRule>
    <cfRule type="expression" dxfId="11" priority="14">
      <formula>$V69=2</formula>
    </cfRule>
    <cfRule type="expression" dxfId="10" priority="15">
      <formula>$V69=1</formula>
    </cfRule>
  </conditionalFormatting>
  <conditionalFormatting sqref="B71:E71">
    <cfRule type="expression" dxfId="9" priority="16">
      <formula>$V70=5</formula>
    </cfRule>
    <cfRule type="expression" dxfId="8" priority="17">
      <formula>$V70=4</formula>
    </cfRule>
    <cfRule type="expression" dxfId="7" priority="18">
      <formula>$V70=3</formula>
    </cfRule>
    <cfRule type="expression" dxfId="6" priority="19">
      <formula>$V70=2</formula>
    </cfRule>
    <cfRule type="expression" dxfId="5" priority="20">
      <formula>$V70=1</formula>
    </cfRule>
  </conditionalFormatting>
  <conditionalFormatting sqref="B72:E79">
    <cfRule type="expression" dxfId="4" priority="1">
      <formula>$V72=5</formula>
    </cfRule>
    <cfRule type="expression" dxfId="3" priority="2">
      <formula>$V72=4</formula>
    </cfRule>
    <cfRule type="expression" dxfId="2" priority="3">
      <formula>$V72=3</formula>
    </cfRule>
    <cfRule type="expression" dxfId="1" priority="4">
      <formula>$V72=2</formula>
    </cfRule>
    <cfRule type="expression" dxfId="0" priority="5">
      <formula>$V72=1</formula>
    </cfRule>
  </conditionalFormatting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MAJ S34</vt:lpstr>
      <vt:lpstr>'MAJ S34'!Zone_d_impression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Prenom</dc:creator>
  <cp:lastModifiedBy>Jacquis ANDRIANASOLO</cp:lastModifiedBy>
  <cp:lastPrinted>2026-06-29T10:52:48Z</cp:lastPrinted>
  <dcterms:created xsi:type="dcterms:W3CDTF">2021-02-11T18:30:07Z</dcterms:created>
  <dcterms:modified xsi:type="dcterms:W3CDTF">2026-08-17T10:44:00Z</dcterms:modified>
</cp:coreProperties>
</file>